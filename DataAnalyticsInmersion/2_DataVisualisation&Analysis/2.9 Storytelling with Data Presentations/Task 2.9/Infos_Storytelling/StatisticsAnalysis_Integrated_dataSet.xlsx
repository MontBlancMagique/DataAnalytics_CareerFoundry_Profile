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802" documentId="11_F8CD58BBC3EBDE1EA8A271321256C32073D1FCE0" xr6:coauthVersionLast="47" xr6:coauthVersionMax="47" xr10:uidLastSave="{29C95369-C117-434F-AA36-C21778B535D3}"/>
  <bookViews>
    <workbookView xWindow="0" yWindow="0" windowWidth="0" windowHeight="0" firstSheet="1" activeTab="2" xr2:uid="{00000000-000D-0000-FFFF-FFFF00000000}"/>
  </bookViews>
  <sheets>
    <sheet name="Integrated_dataSet" sheetId="6" r:id="rId1"/>
    <sheet name="Statistics_analysis" sheetId="9" r:id="rId2"/>
    <sheet name="Summary" sheetId="8" r:id="rId3"/>
  </sheets>
  <definedNames>
    <definedName name="_xlnm._FilterDatabase" localSheetId="0" hidden="1">Integrated_dataSet!$A$1:$F$1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9" l="1"/>
  <c r="D17" i="9"/>
  <c r="D13" i="9"/>
  <c r="C13" i="9"/>
  <c r="B13" i="9"/>
  <c r="B9" i="9"/>
  <c r="D9" i="9"/>
  <c r="C9" i="9"/>
  <c r="D11" i="9"/>
  <c r="C11" i="9"/>
  <c r="B10" i="9"/>
  <c r="B11" i="9"/>
  <c r="C12" i="9"/>
  <c r="D12" i="9"/>
  <c r="B12" i="9"/>
  <c r="D8" i="9"/>
  <c r="C8" i="9"/>
  <c r="B8" i="9"/>
  <c r="D7" i="9"/>
  <c r="D6" i="9"/>
  <c r="D5" i="9"/>
  <c r="C5" i="9"/>
  <c r="B5" i="9"/>
  <c r="C7" i="9"/>
  <c r="B7" i="9"/>
  <c r="C6" i="9"/>
  <c r="B6" i="9"/>
  <c r="C3" i="9"/>
  <c r="E400" i="6"/>
  <c r="E409" i="6"/>
  <c r="E393" i="6"/>
  <c r="E385" i="6"/>
  <c r="E377" i="6"/>
  <c r="E369" i="6"/>
  <c r="E361" i="6"/>
  <c r="E353" i="6"/>
  <c r="E345" i="6"/>
  <c r="E337" i="6"/>
  <c r="B3" i="9"/>
  <c r="E401" i="6"/>
  <c r="C10" i="9" l="1"/>
  <c r="D10" i="9"/>
</calcChain>
</file>

<file path=xl/sharedStrings.xml><?xml version="1.0" encoding="utf-8"?>
<sst xmlns="http://schemas.openxmlformats.org/spreadsheetml/2006/main" count="861" uniqueCount="498">
  <si>
    <t>State</t>
  </si>
  <si>
    <t>Year</t>
  </si>
  <si>
    <t>Deaths</t>
  </si>
  <si>
    <t>State Year Key</t>
  </si>
  <si>
    <t>Population</t>
  </si>
  <si>
    <t>Rate</t>
  </si>
  <si>
    <t>Alabama</t>
  </si>
  <si>
    <t>Alabama 2009</t>
  </si>
  <si>
    <t>Alabama 2010</t>
  </si>
  <si>
    <t>Alabama 2011</t>
  </si>
  <si>
    <t>Alabama 2012</t>
  </si>
  <si>
    <t>Alabama 2013</t>
  </si>
  <si>
    <t>Alabama 2014</t>
  </si>
  <si>
    <t>Alabama 2015</t>
  </si>
  <si>
    <t>Alabama 2016</t>
  </si>
  <si>
    <t>Alaska</t>
  </si>
  <si>
    <t>Alaska 2009</t>
  </si>
  <si>
    <t>Alaska 2010</t>
  </si>
  <si>
    <t>Alaska 2011</t>
  </si>
  <si>
    <t>Alaska 2012</t>
  </si>
  <si>
    <t>Alaska 2013</t>
  </si>
  <si>
    <t>Alaska 2014</t>
  </si>
  <si>
    <t>Alaska 2015</t>
  </si>
  <si>
    <t>Alaska 2016</t>
  </si>
  <si>
    <t>Arizona</t>
  </si>
  <si>
    <t>Arizona 2009</t>
  </si>
  <si>
    <t>Arizona 2010</t>
  </si>
  <si>
    <t>Arizona 2011</t>
  </si>
  <si>
    <t>Arizona 2012</t>
  </si>
  <si>
    <t>Arizona 2013</t>
  </si>
  <si>
    <t>Arizona 2014</t>
  </si>
  <si>
    <t>Arizona 2015</t>
  </si>
  <si>
    <t>Arizona 2016</t>
  </si>
  <si>
    <t>Arkansas</t>
  </si>
  <si>
    <t>Arkansas 2009</t>
  </si>
  <si>
    <t>Arkansas 2010</t>
  </si>
  <si>
    <t>Arkansas 2011</t>
  </si>
  <si>
    <t>Arkansas 2012</t>
  </si>
  <si>
    <t>Arkansas 2013</t>
  </si>
  <si>
    <t>Arkansas 2014</t>
  </si>
  <si>
    <t>Arkansas 2015</t>
  </si>
  <si>
    <t>Arkansas 2016</t>
  </si>
  <si>
    <t>California</t>
  </si>
  <si>
    <t>California 2009</t>
  </si>
  <si>
    <t>California 2010</t>
  </si>
  <si>
    <t>California 2011</t>
  </si>
  <si>
    <t>California 2012</t>
  </si>
  <si>
    <t>California 2013</t>
  </si>
  <si>
    <t>California 2014</t>
  </si>
  <si>
    <t>California 2015</t>
  </si>
  <si>
    <t>California 2016</t>
  </si>
  <si>
    <t>Colorado</t>
  </si>
  <si>
    <t>Colorado 2009</t>
  </si>
  <si>
    <t>Colorado 2010</t>
  </si>
  <si>
    <t>Colorado 2011</t>
  </si>
  <si>
    <t>Colorado 2012</t>
  </si>
  <si>
    <t>Colorado 2013</t>
  </si>
  <si>
    <t>Colorado 2014</t>
  </si>
  <si>
    <t>Colorado 2015</t>
  </si>
  <si>
    <t>Colorado 2016</t>
  </si>
  <si>
    <t>Connecticut</t>
  </si>
  <si>
    <t>Connecticut 2009</t>
  </si>
  <si>
    <t>Connecticut 2010</t>
  </si>
  <si>
    <t>Connecticut 2011</t>
  </si>
  <si>
    <t>Connecticut 2012</t>
  </si>
  <si>
    <t>Connecticut 2013</t>
  </si>
  <si>
    <t>Connecticut 2014</t>
  </si>
  <si>
    <t>Connecticut 2015</t>
  </si>
  <si>
    <t>Connecticut 2016</t>
  </si>
  <si>
    <t>Delaware</t>
  </si>
  <si>
    <t>Delaware 2009</t>
  </si>
  <si>
    <t>Delaware 2010</t>
  </si>
  <si>
    <t>Delaware 2011</t>
  </si>
  <si>
    <t>Delaware 2012</t>
  </si>
  <si>
    <t>Delaware 2013</t>
  </si>
  <si>
    <t>Delaware 2014</t>
  </si>
  <si>
    <t>Delaware 2015</t>
  </si>
  <si>
    <t>Delaware 2016</t>
  </si>
  <si>
    <t>District of Columbia</t>
  </si>
  <si>
    <t>District of Columbia 2009</t>
  </si>
  <si>
    <t>District of Columbia 2010</t>
  </si>
  <si>
    <t>District of Columbia 2011</t>
  </si>
  <si>
    <t>District of Columbia 2012</t>
  </si>
  <si>
    <t>District of Columbia 2013</t>
  </si>
  <si>
    <t>District of Columbia 2014</t>
  </si>
  <si>
    <t>District of Columbia 2015</t>
  </si>
  <si>
    <t>District of Columbia 2016</t>
  </si>
  <si>
    <t>Florida</t>
  </si>
  <si>
    <t>Florida 2009</t>
  </si>
  <si>
    <t>Florida 2010</t>
  </si>
  <si>
    <t>Florida 2011</t>
  </si>
  <si>
    <t>Florida 2012</t>
  </si>
  <si>
    <t>Florida 2013</t>
  </si>
  <si>
    <t>Florida 2014</t>
  </si>
  <si>
    <t>Florida 2015</t>
  </si>
  <si>
    <t>Florida 2016</t>
  </si>
  <si>
    <t>Georgia</t>
  </si>
  <si>
    <t>Georgia 2009</t>
  </si>
  <si>
    <t>Georgia 2010</t>
  </si>
  <si>
    <t>Georgia 2011</t>
  </si>
  <si>
    <t>Georgia 2012</t>
  </si>
  <si>
    <t>Georgia 2013</t>
  </si>
  <si>
    <t>Georgia 2014</t>
  </si>
  <si>
    <t>Georgia 2015</t>
  </si>
  <si>
    <t>Georgia 2016</t>
  </si>
  <si>
    <t>Hawaii</t>
  </si>
  <si>
    <t>Hawaii 2009</t>
  </si>
  <si>
    <t>Hawaii 2010</t>
  </si>
  <si>
    <t>Hawaii 2011</t>
  </si>
  <si>
    <t>Hawaii 2012</t>
  </si>
  <si>
    <t>Hawaii 2013</t>
  </si>
  <si>
    <t>Hawaii 2014</t>
  </si>
  <si>
    <t>Hawaii 2015</t>
  </si>
  <si>
    <t>Hawaii 2016</t>
  </si>
  <si>
    <t>Idaho</t>
  </si>
  <si>
    <t>Idaho 2009</t>
  </si>
  <si>
    <t>Idaho 2010</t>
  </si>
  <si>
    <t>Idaho 2011</t>
  </si>
  <si>
    <t>Idaho 2012</t>
  </si>
  <si>
    <t>Idaho 2013</t>
  </si>
  <si>
    <t>Idaho 2014</t>
  </si>
  <si>
    <t>Idaho 2015</t>
  </si>
  <si>
    <t>Idaho 2016</t>
  </si>
  <si>
    <t>Illinois</t>
  </si>
  <si>
    <t>Illinois 2009</t>
  </si>
  <si>
    <t>Illinois 2010</t>
  </si>
  <si>
    <t>Illinois 2011</t>
  </si>
  <si>
    <t>Illinois 2012</t>
  </si>
  <si>
    <t>Illinois 2013</t>
  </si>
  <si>
    <t>Illinois 2014</t>
  </si>
  <si>
    <t>Illinois 2015</t>
  </si>
  <si>
    <t>Illinois 2016</t>
  </si>
  <si>
    <t>Indiana</t>
  </si>
  <si>
    <t>Indiana 2009</t>
  </si>
  <si>
    <t>Indiana 2010</t>
  </si>
  <si>
    <t>Indiana 2011</t>
  </si>
  <si>
    <t>Indiana 2012</t>
  </si>
  <si>
    <t>Indiana 2013</t>
  </si>
  <si>
    <t>Indiana 2014</t>
  </si>
  <si>
    <t>Indiana 2015</t>
  </si>
  <si>
    <t>Indiana 2016</t>
  </si>
  <si>
    <t>Iowa</t>
  </si>
  <si>
    <t>Iowa 2009</t>
  </si>
  <si>
    <t>Iowa 2010</t>
  </si>
  <si>
    <t>Iowa 2011</t>
  </si>
  <si>
    <t>Iowa 2012</t>
  </si>
  <si>
    <t>Iowa 2013</t>
  </si>
  <si>
    <t>Iowa 2014</t>
  </si>
  <si>
    <t>Iowa 2015</t>
  </si>
  <si>
    <t>Iowa 2016</t>
  </si>
  <si>
    <t>Kansas</t>
  </si>
  <si>
    <t>Kansas 2009</t>
  </si>
  <si>
    <t>Kansas 2010</t>
  </si>
  <si>
    <t>Kansas 2011</t>
  </si>
  <si>
    <t>Kansas 2012</t>
  </si>
  <si>
    <t>Kansas 2013</t>
  </si>
  <si>
    <t>Kansas 2014</t>
  </si>
  <si>
    <t>Kansas 2015</t>
  </si>
  <si>
    <t>Kansas 2016</t>
  </si>
  <si>
    <t>Kentucky</t>
  </si>
  <si>
    <t>Kentucky 2009</t>
  </si>
  <si>
    <t>Kentucky 2010</t>
  </si>
  <si>
    <t>Kentucky 2011</t>
  </si>
  <si>
    <t>Kentucky 2012</t>
  </si>
  <si>
    <t>Kentucky 2013</t>
  </si>
  <si>
    <t>Kentucky 2014</t>
  </si>
  <si>
    <t>Kentucky 2015</t>
  </si>
  <si>
    <t>Kentucky 2016</t>
  </si>
  <si>
    <t>Louisiana</t>
  </si>
  <si>
    <t>Louisiana 2009</t>
  </si>
  <si>
    <t>Louisiana 2010</t>
  </si>
  <si>
    <t>Louisiana 2011</t>
  </si>
  <si>
    <t>Louisiana 2012</t>
  </si>
  <si>
    <t>Louisiana 2013</t>
  </si>
  <si>
    <t>Louisiana 2014</t>
  </si>
  <si>
    <t>Louisiana 2015</t>
  </si>
  <si>
    <t>Louisiana 2016</t>
  </si>
  <si>
    <t>Maine</t>
  </si>
  <si>
    <t>Maine 2009</t>
  </si>
  <si>
    <t>Maine 2010</t>
  </si>
  <si>
    <t>Maine 2011</t>
  </si>
  <si>
    <t>Maine 2012</t>
  </si>
  <si>
    <t>Maine 2013</t>
  </si>
  <si>
    <t>Maine 2014</t>
  </si>
  <si>
    <t>Maine 2015</t>
  </si>
  <si>
    <t>Maine 2016</t>
  </si>
  <si>
    <t>Maryland</t>
  </si>
  <si>
    <t>Maryland 2009</t>
  </si>
  <si>
    <t>Maryland 2010</t>
  </si>
  <si>
    <t>Maryland 2011</t>
  </si>
  <si>
    <t>Maryland 2012</t>
  </si>
  <si>
    <t>Maryland 2013</t>
  </si>
  <si>
    <t>Maryland 2014</t>
  </si>
  <si>
    <t>Maryland 2015</t>
  </si>
  <si>
    <t>Maryland 2016</t>
  </si>
  <si>
    <t>Massachusetts</t>
  </si>
  <si>
    <t>Massachusetts 2009</t>
  </si>
  <si>
    <t>Massachusetts 2010</t>
  </si>
  <si>
    <t>Massachusetts 2011</t>
  </si>
  <si>
    <t>Massachusetts 2012</t>
  </si>
  <si>
    <t>Massachusetts 2013</t>
  </si>
  <si>
    <t>Massachusetts 2014</t>
  </si>
  <si>
    <t>Massachusetts 2015</t>
  </si>
  <si>
    <t>Massachusetts 2016</t>
  </si>
  <si>
    <t>Michigan</t>
  </si>
  <si>
    <t>Michigan 2009</t>
  </si>
  <si>
    <t>Michigan 2010</t>
  </si>
  <si>
    <t>Michigan 2011</t>
  </si>
  <si>
    <t>Michigan 2012</t>
  </si>
  <si>
    <t>Michigan 2013</t>
  </si>
  <si>
    <t>Michigan 2014</t>
  </si>
  <si>
    <t>Michigan 2015</t>
  </si>
  <si>
    <t>Michigan 2016</t>
  </si>
  <si>
    <t>Minnesota</t>
  </si>
  <si>
    <t>Minnesota 2009</t>
  </si>
  <si>
    <t>Minnesota 2010</t>
  </si>
  <si>
    <t>Minnesota 2011</t>
  </si>
  <si>
    <t>Minnesota 2012</t>
  </si>
  <si>
    <t>Minnesota 2013</t>
  </si>
  <si>
    <t>Minnesota 2014</t>
  </si>
  <si>
    <t>Minnesota 2015</t>
  </si>
  <si>
    <t>Minnesota 2016</t>
  </si>
  <si>
    <t>Mississippi</t>
  </si>
  <si>
    <t>Mississippi 2009</t>
  </si>
  <si>
    <t>Mississippi 2010</t>
  </si>
  <si>
    <t>Mississippi 2011</t>
  </si>
  <si>
    <t>Mississippi 2012</t>
  </si>
  <si>
    <t>Mississippi 2013</t>
  </si>
  <si>
    <t>Mississippi 2014</t>
  </si>
  <si>
    <t>Mississippi 2015</t>
  </si>
  <si>
    <t>Mississippi 2016</t>
  </si>
  <si>
    <t>Missouri</t>
  </si>
  <si>
    <t>Missouri 2009</t>
  </si>
  <si>
    <t>Missouri 2010</t>
  </si>
  <si>
    <t>Missouri 2011</t>
  </si>
  <si>
    <t>Missouri 2012</t>
  </si>
  <si>
    <t>Missouri 2013</t>
  </si>
  <si>
    <t>Missouri 2014</t>
  </si>
  <si>
    <t>Missouri 2015</t>
  </si>
  <si>
    <t>Missouri 2016</t>
  </si>
  <si>
    <t>Montana</t>
  </si>
  <si>
    <t>Montana 2009</t>
  </si>
  <si>
    <t>Montana 2010</t>
  </si>
  <si>
    <t>Montana 2011</t>
  </si>
  <si>
    <t>Montana 2012</t>
  </si>
  <si>
    <t>Montana 2013</t>
  </si>
  <si>
    <t>Montana 2014</t>
  </si>
  <si>
    <t>Montana 2015</t>
  </si>
  <si>
    <t>Montana 2016</t>
  </si>
  <si>
    <t>Nebraska</t>
  </si>
  <si>
    <t>Nebraska 2009</t>
  </si>
  <si>
    <t>Nebraska 2010</t>
  </si>
  <si>
    <t>Nebraska 2011</t>
  </si>
  <si>
    <t>Nebraska 2012</t>
  </si>
  <si>
    <t>Nebraska 2013</t>
  </si>
  <si>
    <t>Nebraska 2014</t>
  </si>
  <si>
    <t>Nebraska 2015</t>
  </si>
  <si>
    <t>Nebraska 2016</t>
  </si>
  <si>
    <t>Nevada</t>
  </si>
  <si>
    <t>Nevada 2009</t>
  </si>
  <si>
    <t>Nevada 2010</t>
  </si>
  <si>
    <t>Nevada 2011</t>
  </si>
  <si>
    <t>Nevada 2012</t>
  </si>
  <si>
    <t>Nevada 2013</t>
  </si>
  <si>
    <t>Nevada 2014</t>
  </si>
  <si>
    <t>Nevada 2015</t>
  </si>
  <si>
    <t>Nevada 2016</t>
  </si>
  <si>
    <t>New Hampshire</t>
  </si>
  <si>
    <t>New Hampshire 2009</t>
  </si>
  <si>
    <t>New Hampshire 2010</t>
  </si>
  <si>
    <t>New Hampshire 2011</t>
  </si>
  <si>
    <t>New Hampshire 2012</t>
  </si>
  <si>
    <t>New Hampshire 2013</t>
  </si>
  <si>
    <t>New Hampshire 2014</t>
  </si>
  <si>
    <t>New Hampshire 2015</t>
  </si>
  <si>
    <t>New Hampshire 2016</t>
  </si>
  <si>
    <t>New Jersey</t>
  </si>
  <si>
    <t>New Jersey 2009</t>
  </si>
  <si>
    <t>New Jersey 2010</t>
  </si>
  <si>
    <t>New Jersey 2011</t>
  </si>
  <si>
    <t>New Jersey 2012</t>
  </si>
  <si>
    <t>New Jersey 2013</t>
  </si>
  <si>
    <t>New Jersey 2014</t>
  </si>
  <si>
    <t>New Jersey 2015</t>
  </si>
  <si>
    <t>New Jersey 2016</t>
  </si>
  <si>
    <t>New Mexico</t>
  </si>
  <si>
    <t>New Mexico 2009</t>
  </si>
  <si>
    <t>New Mexico 2010</t>
  </si>
  <si>
    <t>New Mexico 2011</t>
  </si>
  <si>
    <t>New Mexico 2012</t>
  </si>
  <si>
    <t>New Mexico 2013</t>
  </si>
  <si>
    <t>New Mexico 2014</t>
  </si>
  <si>
    <t>New Mexico 2015</t>
  </si>
  <si>
    <t>New Mexico 2016</t>
  </si>
  <si>
    <t>New York</t>
  </si>
  <si>
    <t>New York 2009</t>
  </si>
  <si>
    <t>New York 2010</t>
  </si>
  <si>
    <t>New York 2011</t>
  </si>
  <si>
    <t>New York 2012</t>
  </si>
  <si>
    <t>New York 2013</t>
  </si>
  <si>
    <t>New York 2014</t>
  </si>
  <si>
    <t>New York 2015</t>
  </si>
  <si>
    <t>New York 2016</t>
  </si>
  <si>
    <t>North Carolina</t>
  </si>
  <si>
    <t>North Carolina 2009</t>
  </si>
  <si>
    <t>North Carolina 2010</t>
  </si>
  <si>
    <t>North Carolina 2011</t>
  </si>
  <si>
    <t>North Carolina 2012</t>
  </si>
  <si>
    <t>North Carolina 2013</t>
  </si>
  <si>
    <t>North Carolina 2014</t>
  </si>
  <si>
    <t>North Carolina 2015</t>
  </si>
  <si>
    <t>North Carolina 2016</t>
  </si>
  <si>
    <t>North Dakota</t>
  </si>
  <si>
    <t>North Dakota 2009</t>
  </si>
  <si>
    <t>North Dakota 2010</t>
  </si>
  <si>
    <t>North Dakota 2011</t>
  </si>
  <si>
    <t>North Dakota 2012</t>
  </si>
  <si>
    <t>North Dakota 2013</t>
  </si>
  <si>
    <t>North Dakota 2014</t>
  </si>
  <si>
    <t>North Dakota 2015</t>
  </si>
  <si>
    <t>North Dakota 2016</t>
  </si>
  <si>
    <t>Ohio</t>
  </si>
  <si>
    <t>Ohio 2009</t>
  </si>
  <si>
    <t>Ohio 2010</t>
  </si>
  <si>
    <t>Ohio 2011</t>
  </si>
  <si>
    <t>Ohio 2012</t>
  </si>
  <si>
    <t>Ohio 2013</t>
  </si>
  <si>
    <t>Ohio 2014</t>
  </si>
  <si>
    <t>Ohio 2015</t>
  </si>
  <si>
    <t>Ohio 2016</t>
  </si>
  <si>
    <t>Oklahoma</t>
  </si>
  <si>
    <t>Oklahoma 2009</t>
  </si>
  <si>
    <t>Oklahoma 2010</t>
  </si>
  <si>
    <t>Oklahoma 2011</t>
  </si>
  <si>
    <t>Oklahoma 2012</t>
  </si>
  <si>
    <t>Oklahoma 2013</t>
  </si>
  <si>
    <t>Oklahoma 2014</t>
  </si>
  <si>
    <t>Oklahoma 2015</t>
  </si>
  <si>
    <t>Oklahoma 2016</t>
  </si>
  <si>
    <t>Oregon</t>
  </si>
  <si>
    <t>Oregon 2009</t>
  </si>
  <si>
    <t>Oregon 2010</t>
  </si>
  <si>
    <t>Oregon 2011</t>
  </si>
  <si>
    <t>Oregon 2012</t>
  </si>
  <si>
    <t>Oregon 2013</t>
  </si>
  <si>
    <t>Oregon 2014</t>
  </si>
  <si>
    <t>Oregon 2015</t>
  </si>
  <si>
    <t>Oregon 2016</t>
  </si>
  <si>
    <t>Pennsylvania</t>
  </si>
  <si>
    <t>Pennsylvania 2009</t>
  </si>
  <si>
    <t>Pennsylvania 2010</t>
  </si>
  <si>
    <t>Pennsylvania 2011</t>
  </si>
  <si>
    <t>Pennsylvania 2012</t>
  </si>
  <si>
    <t>Pennsylvania 2013</t>
  </si>
  <si>
    <t>Pennsylvania 2014</t>
  </si>
  <si>
    <t>Pennsylvania 2015</t>
  </si>
  <si>
    <t>Pennsylvania 2016</t>
  </si>
  <si>
    <t>Rhode Island</t>
  </si>
  <si>
    <t>Rhode Island 2009</t>
  </si>
  <si>
    <t>Rhode Island 2010</t>
  </si>
  <si>
    <t>Rhode Island 2011</t>
  </si>
  <si>
    <t>Rhode Island 2012</t>
  </si>
  <si>
    <t>Rhode Island 2013</t>
  </si>
  <si>
    <t>Rhode Island 2014</t>
  </si>
  <si>
    <t>Rhode Island 2015</t>
  </si>
  <si>
    <t>Rhode Island 2016</t>
  </si>
  <si>
    <t>South Carolina</t>
  </si>
  <si>
    <t>South Carolina 2009</t>
  </si>
  <si>
    <t>South Carolina 2010</t>
  </si>
  <si>
    <t>South Carolina 2011</t>
  </si>
  <si>
    <t>South Carolina 2012</t>
  </si>
  <si>
    <t>South Carolina 2013</t>
  </si>
  <si>
    <t>South Carolina 2014</t>
  </si>
  <si>
    <t>South Carolina 2015</t>
  </si>
  <si>
    <t>South Carolina 2016</t>
  </si>
  <si>
    <t>South Dakota</t>
  </si>
  <si>
    <t>South Dakota 2009</t>
  </si>
  <si>
    <t>South Dakota 2010</t>
  </si>
  <si>
    <t>South Dakota 2011</t>
  </si>
  <si>
    <t>South Dakota 2012</t>
  </si>
  <si>
    <t>South Dakota 2013</t>
  </si>
  <si>
    <t>South Dakota 2014</t>
  </si>
  <si>
    <t>South Dakota 2015</t>
  </si>
  <si>
    <t>South Dakota 2016</t>
  </si>
  <si>
    <t>Tennessee</t>
  </si>
  <si>
    <t>Tennessee 2009</t>
  </si>
  <si>
    <t>Tennessee 2010</t>
  </si>
  <si>
    <t>Tennessee 2011</t>
  </si>
  <si>
    <t>Tennessee 2012</t>
  </si>
  <si>
    <t>Tennessee 2013</t>
  </si>
  <si>
    <t>Tennessee 2014</t>
  </si>
  <si>
    <t>Tennessee 2015</t>
  </si>
  <si>
    <t>Tennessee 2016</t>
  </si>
  <si>
    <t>Texas</t>
  </si>
  <si>
    <t>Texas 2009</t>
  </si>
  <si>
    <t>Texas 2010</t>
  </si>
  <si>
    <t>Texas 2011</t>
  </si>
  <si>
    <t>Texas 2012</t>
  </si>
  <si>
    <t>Texas 2013</t>
  </si>
  <si>
    <t>Texas 2014</t>
  </si>
  <si>
    <t>Texas 2015</t>
  </si>
  <si>
    <t>Texas 2016</t>
  </si>
  <si>
    <t>Utah</t>
  </si>
  <si>
    <t>Utah 2009</t>
  </si>
  <si>
    <t>Utah 2010</t>
  </si>
  <si>
    <t>Utah 2011</t>
  </si>
  <si>
    <t>Utah 2012</t>
  </si>
  <si>
    <t>Utah 2013</t>
  </si>
  <si>
    <t>Utah 2014</t>
  </si>
  <si>
    <t>Utah 2015</t>
  </si>
  <si>
    <t>Utah 2016</t>
  </si>
  <si>
    <t>Vermont</t>
  </si>
  <si>
    <t>Vermont 2009</t>
  </si>
  <si>
    <t>Vermont 2010</t>
  </si>
  <si>
    <t>Vermont 2011</t>
  </si>
  <si>
    <t>Vermont 2012</t>
  </si>
  <si>
    <t>Vermont 2013</t>
  </si>
  <si>
    <t>Vermont 2014</t>
  </si>
  <si>
    <t>Vermont 2015</t>
  </si>
  <si>
    <t>Vermont 2016</t>
  </si>
  <si>
    <t>Virginia</t>
  </si>
  <si>
    <t>Virginia 2009</t>
  </si>
  <si>
    <t>Virginia 2010</t>
  </si>
  <si>
    <t>Virginia 2011</t>
  </si>
  <si>
    <t>Virginia 2012</t>
  </si>
  <si>
    <t>Virginia 2013</t>
  </si>
  <si>
    <t>Virginia 2014</t>
  </si>
  <si>
    <t>Virginia 2015</t>
  </si>
  <si>
    <t>Virginia 2016</t>
  </si>
  <si>
    <t>Washington</t>
  </si>
  <si>
    <t>Washington 2009</t>
  </si>
  <si>
    <t>Washington 2010</t>
  </si>
  <si>
    <t>Washington 2011</t>
  </si>
  <si>
    <t>Washington 2012</t>
  </si>
  <si>
    <t>Washington 2013</t>
  </si>
  <si>
    <t>Washington 2014</t>
  </si>
  <si>
    <t>Washington 2015</t>
  </si>
  <si>
    <t>Washington 2016</t>
  </si>
  <si>
    <t>West Virginia</t>
  </si>
  <si>
    <t>West Virginia 2009</t>
  </si>
  <si>
    <t>West Virginia 2010</t>
  </si>
  <si>
    <t>West Virginia 2011</t>
  </si>
  <si>
    <t>West Virginia 2012</t>
  </si>
  <si>
    <t>West Virginia 2013</t>
  </si>
  <si>
    <t>West Virginia 2014</t>
  </si>
  <si>
    <t>West Virginia 2015</t>
  </si>
  <si>
    <t>West Virginia 2016</t>
  </si>
  <si>
    <t>Wisconsin</t>
  </si>
  <si>
    <t>Wisconsin 2009</t>
  </si>
  <si>
    <t>Wisconsin 2010</t>
  </si>
  <si>
    <t>Wisconsin 2011</t>
  </si>
  <si>
    <t>Wisconsin 2012</t>
  </si>
  <si>
    <t>Wisconsin 2013</t>
  </si>
  <si>
    <t>Wisconsin 2014</t>
  </si>
  <si>
    <t>Wisconsin 2015</t>
  </si>
  <si>
    <t>Wisconsin 2016</t>
  </si>
  <si>
    <t>Wyoming</t>
  </si>
  <si>
    <t>Wyoming 2009</t>
  </si>
  <si>
    <t>Wyoming 2010</t>
  </si>
  <si>
    <t>Wyoming 2011</t>
  </si>
  <si>
    <t>Wyoming 2012</t>
  </si>
  <si>
    <t>Wyoming 2013</t>
  </si>
  <si>
    <t>Wyoming 2014</t>
  </si>
  <si>
    <t>Wyoming 2015</t>
  </si>
  <si>
    <t>Wyoming 2016</t>
  </si>
  <si>
    <t>Data Spread</t>
  </si>
  <si>
    <t>Variable 1</t>
  </si>
  <si>
    <t>Variable 2</t>
  </si>
  <si>
    <t>Variable 3</t>
  </si>
  <si>
    <t>Data Name</t>
  </si>
  <si>
    <t>Sample or Population?</t>
  </si>
  <si>
    <t>Population data</t>
  </si>
  <si>
    <t>Normal Distribution?</t>
  </si>
  <si>
    <t>Variance</t>
  </si>
  <si>
    <t>Standard Deviation</t>
  </si>
  <si>
    <t>Mean</t>
  </si>
  <si>
    <t>Outlier Percentage</t>
  </si>
  <si>
    <t>Lower Bound</t>
  </si>
  <si>
    <t>Upper Bound</t>
  </si>
  <si>
    <t>Outlier Flag</t>
  </si>
  <si>
    <t>Outlier Count</t>
  </si>
  <si>
    <t>Correlation</t>
  </si>
  <si>
    <t>Variables</t>
  </si>
  <si>
    <t>Y</t>
  </si>
  <si>
    <t>X</t>
  </si>
  <si>
    <t>Deaths/Rate</t>
  </si>
  <si>
    <t>Proposed Relationship</t>
  </si>
  <si>
    <t xml:space="preserve">Deaths </t>
  </si>
  <si>
    <t>Correlation Coefficient (Pearson R)</t>
  </si>
  <si>
    <t>Strength of Correlation</t>
  </si>
  <si>
    <t>STRONG</t>
  </si>
  <si>
    <t>Usefulness / Interpretation</t>
  </si>
  <si>
    <t>Higher population associated with higher deaths</t>
  </si>
  <si>
    <t>Higher rate associated with higher deaths</t>
  </si>
  <si>
    <t xml:space="preserve">Summary:     </t>
  </si>
  <si>
    <t>The dataset represents population-level state–year observations rather than a sample. Influenza mortality is measured using the variable Deaths, which serves as the dependent variable. Variance, standard deviation, mean, outlier counts, and correlation coefficients are computed directly from observed values. Correlation analysis quantifies the relationship between mortality counts and population size.</t>
  </si>
  <si>
    <t>Main points:</t>
  </si>
  <si>
    <t>-The dataset contains complete state–year records, indicating population data rather than a sample.
-Influenza mortality is represented by the variable Deaths, used as the dependent variable.
-Variance, standard deviation, and mean are calculated for Deaths in Statistics_analysis.
-Outliers for Deaths are identified using the mean ± 3 standard deviations rule.
-Population is analyzed as a second variable, with outlier counts and percentages computed.
-Correlation between Deaths and Population is calculated and classified as 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</si>
</sst>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
    <numFmt numFmtId="166" formatCode="0.0000"/>
    <numFmt numFmtId="167" formatCode="0.000"/>
    <numFmt numFmtId="176" formatCode="0.0E+00"/>
  </numFmts>
  <fonts count="7">
    <font>
      <sz val="11"/>
      <color theme="1"/>
      <name val="Calibri"/>
      <family val="2"/>
      <scheme val="minor"/>
    </font>
    <font>
      <sz val="11"/>
      <color theme="1" tint="0.34998626667073579"/>
      <name val="Calibri"/>
      <family val="2"/>
      <scheme val="minor"/>
    </font>
    <font>
      <b/>
      <sz val="11"/>
      <color theme="1" tint="0.34998626667073579"/>
      <name val="Calibri"/>
      <family val="2"/>
      <scheme val="minor"/>
    </font>
    <font>
      <b/>
      <sz val="14"/>
      <color rgb="FF0070C0"/>
      <name val="Calibri"/>
      <family val="2"/>
      <scheme val="minor"/>
    </font>
    <font>
      <sz val="11"/>
      <color rgb="FF0070C0"/>
      <name val="Calibri"/>
      <scheme val="minor"/>
    </font>
    <font>
      <b/>
      <sz val="16"/>
      <color theme="1" tint="0.34998626667073579"/>
      <name val="Calibri"/>
      <family val="2"/>
      <scheme val="minor"/>
    </font>
    <font>
      <sz val="11"/>
      <color theme="0" tint="-0.34998626667073579"/>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s>
  <cellStyleXfs count="1">
    <xf numFmtId="0" fontId="0" fillId="0" borderId="0"/>
  </cellStyleXfs>
  <cellXfs count="44">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1" fillId="0" borderId="0" xfId="0" applyNumberFormat="1" applyFont="1" applyAlignment="1">
      <alignment horizontal="center" vertical="center" wrapText="1"/>
    </xf>
    <xf numFmtId="164" fontId="1" fillId="0" borderId="0" xfId="0" applyNumberFormat="1" applyFont="1" applyAlignment="1">
      <alignment horizontal="center" vertical="center"/>
    </xf>
    <xf numFmtId="0" fontId="0" fillId="0" borderId="0" xfId="0"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5"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2" fillId="0" borderId="0" xfId="0" applyFont="1" applyAlignment="1">
      <alignment horizontal="center" vertical="center" wrapText="1"/>
    </xf>
    <xf numFmtId="0" fontId="5" fillId="2" borderId="0" xfId="0" applyFont="1" applyFill="1" applyAlignment="1">
      <alignment horizontal="center" vertical="center" wrapText="1"/>
    </xf>
    <xf numFmtId="1" fontId="1" fillId="4" borderId="0" xfId="0" applyNumberFormat="1" applyFont="1" applyFill="1" applyAlignment="1">
      <alignment horizontal="center" vertical="center" wrapText="1"/>
    </xf>
    <xf numFmtId="1" fontId="1" fillId="0" borderId="0" xfId="0" applyNumberFormat="1" applyFont="1" applyAlignment="1">
      <alignment horizontal="center" vertical="center" wrapText="1"/>
    </xf>
    <xf numFmtId="176" fontId="1" fillId="0" borderId="0" xfId="0" applyNumberFormat="1" applyFont="1" applyAlignment="1">
      <alignment horizontal="center" vertical="center" wrapText="1"/>
    </xf>
    <xf numFmtId="0" fontId="1" fillId="0" borderId="0" xfId="0" applyFont="1" applyAlignment="1">
      <alignment horizontal="right" vertical="center" wrapText="1"/>
    </xf>
    <xf numFmtId="10" fontId="1" fillId="0" borderId="0" xfId="0" applyNumberFormat="1" applyFont="1" applyAlignment="1">
      <alignment horizontal="center" vertical="center" wrapText="1"/>
    </xf>
    <xf numFmtId="0" fontId="1" fillId="0" borderId="0" xfId="0" applyFont="1" applyAlignment="1">
      <alignment horizontal="center" vertical="center" wrapText="1"/>
    </xf>
    <xf numFmtId="167"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4" fillId="0" borderId="0"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2" fillId="0" borderId="0" xfId="0" applyFont="1" applyAlignment="1">
      <alignment vertical="center" wrapText="1"/>
    </xf>
    <xf numFmtId="0" fontId="6" fillId="0" borderId="0" xfId="0" applyFont="1" applyAlignment="1">
      <alignment horizontal="center" vertical="center" wrapText="1"/>
    </xf>
    <xf numFmtId="176"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10" fontId="6" fillId="0" borderId="0" xfId="0" applyNumberFormat="1" applyFont="1" applyAlignment="1">
      <alignment horizontal="center" vertical="center" wrapText="1"/>
    </xf>
    <xf numFmtId="166" fontId="6" fillId="0" borderId="0" xfId="0" applyNumberFormat="1" applyFont="1" applyAlignment="1">
      <alignment horizontal="center" vertical="center" wrapText="1"/>
    </xf>
    <xf numFmtId="1" fontId="6" fillId="0" borderId="0" xfId="0" applyNumberFormat="1" applyFont="1" applyAlignment="1">
      <alignment horizontal="center" vertical="center" wrapText="1"/>
    </xf>
    <xf numFmtId="167" fontId="6" fillId="0" borderId="0" xfId="0" applyNumberFormat="1" applyFont="1" applyAlignment="1">
      <alignment horizontal="center" vertical="center" wrapText="1"/>
    </xf>
  </cellXfs>
  <cellStyles count="1">
    <cellStyle name="Normal" xfId="0" builtinId="0"/>
  </cellStyles>
  <dxfs count="6">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10"/>
  <sheetViews>
    <sheetView workbookViewId="0">
      <selection activeCell="H382" sqref="H382"/>
    </sheetView>
  </sheetViews>
  <sheetFormatPr defaultRowHeight="15"/>
  <cols>
    <col min="1" max="1" width="26.42578125" customWidth="1"/>
    <col min="2" max="3" width="16.7109375" customWidth="1"/>
    <col min="4" max="4" width="23.5703125" customWidth="1"/>
    <col min="5" max="6" width="16.7109375" customWidth="1"/>
  </cols>
  <sheetData>
    <row r="1" spans="1:6" ht="30" customHeight="1">
      <c r="A1" s="2" t="s">
        <v>0</v>
      </c>
      <c r="B1" s="2" t="s">
        <v>1</v>
      </c>
      <c r="C1" s="2" t="s">
        <v>2</v>
      </c>
      <c r="D1" s="3" t="s">
        <v>3</v>
      </c>
      <c r="E1" s="2" t="s">
        <v>4</v>
      </c>
      <c r="F1" s="2" t="s">
        <v>5</v>
      </c>
    </row>
    <row r="2" spans="1:6">
      <c r="A2" s="1" t="s">
        <v>6</v>
      </c>
      <c r="B2" s="1">
        <v>2009</v>
      </c>
      <c r="C2" s="1">
        <v>755</v>
      </c>
      <c r="D2" s="4" t="s">
        <v>7</v>
      </c>
      <c r="E2" s="4">
        <v>4713550</v>
      </c>
      <c r="F2" s="5">
        <v>1.6017651239511621E-4</v>
      </c>
    </row>
    <row r="3" spans="1:6">
      <c r="A3" s="1" t="s">
        <v>6</v>
      </c>
      <c r="B3" s="1">
        <v>2010</v>
      </c>
      <c r="C3" s="1">
        <v>809</v>
      </c>
      <c r="D3" s="4" t="s">
        <v>8</v>
      </c>
      <c r="E3" s="4">
        <v>4862140</v>
      </c>
      <c r="F3" s="5">
        <v>1.6638764001036579E-4</v>
      </c>
    </row>
    <row r="4" spans="1:6">
      <c r="A4" s="1" t="s">
        <v>6</v>
      </c>
      <c r="B4" s="1">
        <v>2011</v>
      </c>
      <c r="C4" s="1">
        <v>776</v>
      </c>
      <c r="D4" s="4" t="s">
        <v>9</v>
      </c>
      <c r="E4" s="4">
        <v>5081072</v>
      </c>
      <c r="F4" s="5">
        <v>1.5272367720827417E-4</v>
      </c>
    </row>
    <row r="5" spans="1:6">
      <c r="A5" s="1" t="s">
        <v>6</v>
      </c>
      <c r="B5" s="1">
        <v>2012</v>
      </c>
      <c r="C5" s="1">
        <v>761</v>
      </c>
      <c r="D5" s="4" t="s">
        <v>10</v>
      </c>
      <c r="E5" s="4">
        <v>4866478</v>
      </c>
      <c r="F5" s="5">
        <v>1.5637592525847234E-4</v>
      </c>
    </row>
    <row r="6" spans="1:6">
      <c r="A6" s="1" t="s">
        <v>6</v>
      </c>
      <c r="B6" s="1">
        <v>2013</v>
      </c>
      <c r="C6" s="1">
        <v>861</v>
      </c>
      <c r="D6" s="4" t="s">
        <v>11</v>
      </c>
      <c r="E6" s="4">
        <v>4876320</v>
      </c>
      <c r="F6" s="5">
        <v>1.765675755487745E-4</v>
      </c>
    </row>
    <row r="7" spans="1:6">
      <c r="A7" s="1" t="s">
        <v>6</v>
      </c>
      <c r="B7" s="1">
        <v>2014</v>
      </c>
      <c r="C7" s="1">
        <v>887</v>
      </c>
      <c r="D7" s="4" t="s">
        <v>12</v>
      </c>
      <c r="E7" s="4">
        <v>4622427</v>
      </c>
      <c r="F7" s="5">
        <v>1.91890537157212E-4</v>
      </c>
    </row>
    <row r="8" spans="1:6">
      <c r="A8" s="1" t="s">
        <v>6</v>
      </c>
      <c r="B8" s="1">
        <v>2015</v>
      </c>
      <c r="C8" s="1">
        <v>977</v>
      </c>
      <c r="D8" s="4" t="s">
        <v>13</v>
      </c>
      <c r="E8" s="4">
        <v>4727058</v>
      </c>
      <c r="F8" s="5">
        <v>2.0668246507658675E-4</v>
      </c>
    </row>
    <row r="9" spans="1:6">
      <c r="A9" s="1" t="s">
        <v>6</v>
      </c>
      <c r="B9" s="1">
        <v>2016</v>
      </c>
      <c r="C9" s="1">
        <v>875</v>
      </c>
      <c r="D9" s="4" t="s">
        <v>14</v>
      </c>
      <c r="E9" s="4">
        <v>4939554</v>
      </c>
      <c r="F9" s="5">
        <v>1.7714149900982962E-4</v>
      </c>
    </row>
    <row r="10" spans="1:6">
      <c r="A10" s="1" t="s">
        <v>15</v>
      </c>
      <c r="B10" s="1">
        <v>2009</v>
      </c>
      <c r="C10" s="1">
        <v>0</v>
      </c>
      <c r="D10" s="4" t="s">
        <v>16</v>
      </c>
      <c r="E10" s="4">
        <v>734628</v>
      </c>
      <c r="F10" s="5">
        <v>0</v>
      </c>
    </row>
    <row r="11" spans="1:6">
      <c r="A11" s="1" t="s">
        <v>15</v>
      </c>
      <c r="B11" s="1">
        <v>2010</v>
      </c>
      <c r="C11" s="1">
        <v>0</v>
      </c>
      <c r="D11" s="4" t="s">
        <v>17</v>
      </c>
      <c r="E11" s="4">
        <v>702506</v>
      </c>
      <c r="F11" s="5">
        <v>0</v>
      </c>
    </row>
    <row r="12" spans="1:6">
      <c r="A12" s="1" t="s">
        <v>15</v>
      </c>
      <c r="B12" s="1">
        <v>2011</v>
      </c>
      <c r="C12" s="1">
        <v>0</v>
      </c>
      <c r="D12" s="4" t="s">
        <v>18</v>
      </c>
      <c r="E12" s="4">
        <v>677432</v>
      </c>
      <c r="F12" s="5">
        <v>0</v>
      </c>
    </row>
    <row r="13" spans="1:6">
      <c r="A13" s="1" t="s">
        <v>15</v>
      </c>
      <c r="B13" s="1">
        <v>2012</v>
      </c>
      <c r="C13" s="1">
        <v>0</v>
      </c>
      <c r="D13" s="4" t="s">
        <v>19</v>
      </c>
      <c r="E13" s="4">
        <v>675805</v>
      </c>
      <c r="F13" s="5">
        <v>0</v>
      </c>
    </row>
    <row r="14" spans="1:6">
      <c r="A14" s="1" t="s">
        <v>15</v>
      </c>
      <c r="B14" s="1">
        <v>2013</v>
      </c>
      <c r="C14" s="1">
        <v>0</v>
      </c>
      <c r="D14" s="4" t="s">
        <v>20</v>
      </c>
      <c r="E14" s="4">
        <v>724271</v>
      </c>
      <c r="F14" s="5">
        <v>0</v>
      </c>
    </row>
    <row r="15" spans="1:6">
      <c r="A15" s="1" t="s">
        <v>15</v>
      </c>
      <c r="B15" s="1">
        <v>2014</v>
      </c>
      <c r="C15" s="1">
        <v>0</v>
      </c>
      <c r="D15" s="4" t="s">
        <v>21</v>
      </c>
      <c r="E15" s="4">
        <v>647536</v>
      </c>
      <c r="F15" s="5">
        <v>0</v>
      </c>
    </row>
    <row r="16" spans="1:6">
      <c r="A16" s="1" t="s">
        <v>15</v>
      </c>
      <c r="B16" s="1">
        <v>2015</v>
      </c>
      <c r="C16" s="1">
        <v>0</v>
      </c>
      <c r="D16" s="4" t="s">
        <v>22</v>
      </c>
      <c r="E16" s="4">
        <v>705215</v>
      </c>
      <c r="F16" s="5">
        <v>0</v>
      </c>
    </row>
    <row r="17" spans="1:6">
      <c r="A17" s="1" t="s">
        <v>15</v>
      </c>
      <c r="B17" s="1">
        <v>2016</v>
      </c>
      <c r="C17" s="1">
        <v>0</v>
      </c>
      <c r="D17" s="4" t="s">
        <v>23</v>
      </c>
      <c r="E17" s="4">
        <v>728682</v>
      </c>
      <c r="F17" s="5">
        <v>0</v>
      </c>
    </row>
    <row r="18" spans="1:6">
      <c r="A18" s="1" t="s">
        <v>24</v>
      </c>
      <c r="B18" s="1">
        <v>2009</v>
      </c>
      <c r="C18" s="1">
        <v>848</v>
      </c>
      <c r="D18" s="4" t="s">
        <v>25</v>
      </c>
      <c r="E18" s="4">
        <v>6324865</v>
      </c>
      <c r="F18" s="5">
        <v>1.3407400790372602E-4</v>
      </c>
    </row>
    <row r="19" spans="1:6">
      <c r="A19" s="1" t="s">
        <v>24</v>
      </c>
      <c r="B19" s="1">
        <v>2010</v>
      </c>
      <c r="C19" s="1">
        <v>586</v>
      </c>
      <c r="D19" s="4" t="s">
        <v>26</v>
      </c>
      <c r="E19" s="4">
        <v>6287420</v>
      </c>
      <c r="F19" s="5">
        <v>9.3201981098765466E-5</v>
      </c>
    </row>
    <row r="20" spans="1:6">
      <c r="A20" s="1" t="s">
        <v>24</v>
      </c>
      <c r="B20" s="1">
        <v>2011</v>
      </c>
      <c r="C20" s="1">
        <v>532</v>
      </c>
      <c r="D20" s="4" t="s">
        <v>27</v>
      </c>
      <c r="E20" s="4">
        <v>6304046</v>
      </c>
      <c r="F20" s="5">
        <v>8.4390247152384357E-5</v>
      </c>
    </row>
    <row r="21" spans="1:6">
      <c r="A21" s="1" t="s">
        <v>24</v>
      </c>
      <c r="B21" s="1">
        <v>2012</v>
      </c>
      <c r="C21" s="1">
        <v>518</v>
      </c>
      <c r="D21" s="4" t="s">
        <v>28</v>
      </c>
      <c r="E21" s="4">
        <v>6462829</v>
      </c>
      <c r="F21" s="5">
        <v>8.0150658480984105E-5</v>
      </c>
    </row>
    <row r="22" spans="1:6">
      <c r="A22" s="1" t="s">
        <v>24</v>
      </c>
      <c r="B22" s="1">
        <v>2013</v>
      </c>
      <c r="C22" s="1">
        <v>593</v>
      </c>
      <c r="D22" s="4" t="s">
        <v>29</v>
      </c>
      <c r="E22" s="4">
        <v>6518081</v>
      </c>
      <c r="F22" s="5">
        <v>9.0977697270101432E-5</v>
      </c>
    </row>
    <row r="23" spans="1:6">
      <c r="A23" s="1" t="s">
        <v>24</v>
      </c>
      <c r="B23" s="1">
        <v>2014</v>
      </c>
      <c r="C23" s="1">
        <v>611</v>
      </c>
      <c r="D23" s="4" t="s">
        <v>30</v>
      </c>
      <c r="E23" s="4">
        <v>6552388</v>
      </c>
      <c r="F23" s="5">
        <v>9.3248446215334009E-5</v>
      </c>
    </row>
    <row r="24" spans="1:6">
      <c r="A24" s="1" t="s">
        <v>24</v>
      </c>
      <c r="B24" s="1">
        <v>2015</v>
      </c>
      <c r="C24" s="1">
        <v>608</v>
      </c>
      <c r="D24" s="4" t="s">
        <v>31</v>
      </c>
      <c r="E24" s="4">
        <v>6522731</v>
      </c>
      <c r="F24" s="5">
        <v>9.3212490289726801E-5</v>
      </c>
    </row>
    <row r="25" spans="1:6">
      <c r="A25" s="1" t="s">
        <v>24</v>
      </c>
      <c r="B25" s="1">
        <v>2016</v>
      </c>
      <c r="C25" s="1">
        <v>742</v>
      </c>
      <c r="D25" s="4" t="s">
        <v>32</v>
      </c>
      <c r="E25" s="4">
        <v>6545958</v>
      </c>
      <c r="F25" s="5">
        <v>1.1335239242292725E-4</v>
      </c>
    </row>
    <row r="26" spans="1:6">
      <c r="A26" s="1" t="s">
        <v>33</v>
      </c>
      <c r="B26" s="1">
        <v>2009</v>
      </c>
      <c r="C26" s="1">
        <v>508</v>
      </c>
      <c r="D26" s="4" t="s">
        <v>34</v>
      </c>
      <c r="E26" s="4">
        <v>2843554</v>
      </c>
      <c r="F26" s="5">
        <v>1.7864967572270475E-4</v>
      </c>
    </row>
    <row r="27" spans="1:6">
      <c r="A27" s="1" t="s">
        <v>33</v>
      </c>
      <c r="B27" s="1">
        <v>2010</v>
      </c>
      <c r="C27" s="1">
        <v>462</v>
      </c>
      <c r="D27" s="4" t="s">
        <v>35</v>
      </c>
      <c r="E27" s="4">
        <v>3041661</v>
      </c>
      <c r="F27" s="5">
        <v>1.5189069393334759E-4</v>
      </c>
    </row>
    <row r="28" spans="1:6">
      <c r="A28" s="1" t="s">
        <v>33</v>
      </c>
      <c r="B28" s="1">
        <v>2011</v>
      </c>
      <c r="C28" s="1">
        <v>574</v>
      </c>
      <c r="D28" s="4" t="s">
        <v>36</v>
      </c>
      <c r="E28" s="4">
        <v>2971204</v>
      </c>
      <c r="F28" s="5">
        <v>1.9318767745331523E-4</v>
      </c>
    </row>
    <row r="29" spans="1:6">
      <c r="A29" s="1" t="s">
        <v>33</v>
      </c>
      <c r="B29" s="1">
        <v>2012</v>
      </c>
      <c r="C29" s="1">
        <v>546</v>
      </c>
      <c r="D29" s="4" t="s">
        <v>37</v>
      </c>
      <c r="E29" s="4">
        <v>3063186</v>
      </c>
      <c r="F29" s="5">
        <v>1.7824578722937489E-4</v>
      </c>
    </row>
    <row r="30" spans="1:6">
      <c r="A30" s="1" t="s">
        <v>33</v>
      </c>
      <c r="B30" s="1">
        <v>2013</v>
      </c>
      <c r="C30" s="1">
        <v>619</v>
      </c>
      <c r="D30" s="4" t="s">
        <v>38</v>
      </c>
      <c r="E30" s="4">
        <v>3039533</v>
      </c>
      <c r="F30" s="5">
        <v>2.0364970539882277E-4</v>
      </c>
    </row>
    <row r="31" spans="1:6">
      <c r="A31" s="1" t="s">
        <v>33</v>
      </c>
      <c r="B31" s="1">
        <v>2014</v>
      </c>
      <c r="C31" s="1">
        <v>528</v>
      </c>
      <c r="D31" s="4" t="s">
        <v>39</v>
      </c>
      <c r="E31" s="4">
        <v>2953381</v>
      </c>
      <c r="F31" s="5">
        <v>1.7877815290340122E-4</v>
      </c>
    </row>
    <row r="32" spans="1:6">
      <c r="A32" s="1" t="s">
        <v>33</v>
      </c>
      <c r="B32" s="1">
        <v>2015</v>
      </c>
      <c r="C32" s="1">
        <v>521</v>
      </c>
      <c r="D32" s="4" t="s">
        <v>40</v>
      </c>
      <c r="E32" s="4">
        <v>3099972</v>
      </c>
      <c r="F32" s="5">
        <v>1.6806603414482453E-4</v>
      </c>
    </row>
    <row r="33" spans="1:6">
      <c r="A33" s="1" t="s">
        <v>33</v>
      </c>
      <c r="B33" s="1">
        <v>2016</v>
      </c>
      <c r="C33" s="1">
        <v>491</v>
      </c>
      <c r="D33" s="4" t="s">
        <v>41</v>
      </c>
      <c r="E33" s="4">
        <v>3082240</v>
      </c>
      <c r="F33" s="5">
        <v>1.5929973006644519E-4</v>
      </c>
    </row>
    <row r="34" spans="1:6">
      <c r="A34" s="1" t="s">
        <v>42</v>
      </c>
      <c r="B34" s="1">
        <v>2009</v>
      </c>
      <c r="C34" s="1">
        <v>6261</v>
      </c>
      <c r="D34" s="4" t="s">
        <v>43</v>
      </c>
      <c r="E34" s="4">
        <v>36329077</v>
      </c>
      <c r="F34" s="5">
        <v>1.7234129014618234E-4</v>
      </c>
    </row>
    <row r="35" spans="1:6">
      <c r="A35" s="1" t="s">
        <v>42</v>
      </c>
      <c r="B35" s="1">
        <v>2010</v>
      </c>
      <c r="C35" s="1">
        <v>5732</v>
      </c>
      <c r="D35" s="4" t="s">
        <v>44</v>
      </c>
      <c r="E35" s="4">
        <v>36388689</v>
      </c>
      <c r="F35" s="5">
        <v>1.5752147597293214E-4</v>
      </c>
    </row>
    <row r="36" spans="1:6">
      <c r="A36" s="1" t="s">
        <v>42</v>
      </c>
      <c r="B36" s="1">
        <v>2011</v>
      </c>
      <c r="C36" s="1">
        <v>6046</v>
      </c>
      <c r="D36" s="4" t="s">
        <v>45</v>
      </c>
      <c r="E36" s="4">
        <v>36986746</v>
      </c>
      <c r="F36" s="5">
        <v>1.6346396084694772E-4</v>
      </c>
    </row>
    <row r="37" spans="1:6">
      <c r="A37" s="1" t="s">
        <v>42</v>
      </c>
      <c r="B37" s="1">
        <v>2012</v>
      </c>
      <c r="C37" s="1">
        <v>5682</v>
      </c>
      <c r="D37" s="4" t="s">
        <v>46</v>
      </c>
      <c r="E37" s="4">
        <v>37341855</v>
      </c>
      <c r="F37" s="5">
        <v>1.5216169630566023E-4</v>
      </c>
    </row>
    <row r="38" spans="1:6">
      <c r="A38" s="1" t="s">
        <v>42</v>
      </c>
      <c r="B38" s="1">
        <v>2013</v>
      </c>
      <c r="C38" s="1">
        <v>6387</v>
      </c>
      <c r="D38" s="4" t="s">
        <v>47</v>
      </c>
      <c r="E38" s="4">
        <v>37606937</v>
      </c>
      <c r="F38" s="5">
        <v>1.6983568749563411E-4</v>
      </c>
    </row>
    <row r="39" spans="1:6">
      <c r="A39" s="1" t="s">
        <v>42</v>
      </c>
      <c r="B39" s="1">
        <v>2014</v>
      </c>
      <c r="C39" s="1">
        <v>5836</v>
      </c>
      <c r="D39" s="4" t="s">
        <v>48</v>
      </c>
      <c r="E39" s="4">
        <v>38107157</v>
      </c>
      <c r="F39" s="5">
        <v>1.5314708468018226E-4</v>
      </c>
    </row>
    <row r="40" spans="1:6">
      <c r="A40" s="1" t="s">
        <v>42</v>
      </c>
      <c r="B40" s="1">
        <v>2015</v>
      </c>
      <c r="C40" s="1">
        <v>6043</v>
      </c>
      <c r="D40" s="4" t="s">
        <v>49</v>
      </c>
      <c r="E40" s="4">
        <v>38692954</v>
      </c>
      <c r="F40" s="5">
        <v>1.5617830574527858E-4</v>
      </c>
    </row>
    <row r="41" spans="1:6">
      <c r="A41" s="1" t="s">
        <v>42</v>
      </c>
      <c r="B41" s="1">
        <v>2016</v>
      </c>
      <c r="C41" s="1">
        <v>5818</v>
      </c>
      <c r="D41" s="4" t="s">
        <v>50</v>
      </c>
      <c r="E41" s="4">
        <v>38841344</v>
      </c>
      <c r="F41" s="5">
        <v>1.4978884355803959E-4</v>
      </c>
    </row>
    <row r="42" spans="1:6">
      <c r="A42" s="1" t="s">
        <v>51</v>
      </c>
      <c r="B42" s="1">
        <v>2009</v>
      </c>
      <c r="C42" s="1">
        <v>450</v>
      </c>
      <c r="D42" s="4" t="s">
        <v>52</v>
      </c>
      <c r="E42" s="4">
        <v>4868211</v>
      </c>
      <c r="F42" s="5">
        <v>9.243642068924293E-5</v>
      </c>
    </row>
    <row r="43" spans="1:6">
      <c r="A43" s="1" t="s">
        <v>51</v>
      </c>
      <c r="B43" s="1">
        <v>2010</v>
      </c>
      <c r="C43" s="1">
        <v>385</v>
      </c>
      <c r="D43" s="4" t="s">
        <v>53</v>
      </c>
      <c r="E43" s="4">
        <v>4913915</v>
      </c>
      <c r="F43" s="5">
        <v>7.8348933589612358E-5</v>
      </c>
    </row>
    <row r="44" spans="1:6">
      <c r="A44" s="1" t="s">
        <v>51</v>
      </c>
      <c r="B44" s="1">
        <v>2011</v>
      </c>
      <c r="C44" s="1">
        <v>408</v>
      </c>
      <c r="D44" s="4" t="s">
        <v>54</v>
      </c>
      <c r="E44" s="4">
        <v>5053317</v>
      </c>
      <c r="F44" s="5">
        <v>8.0739047243622358E-5</v>
      </c>
    </row>
    <row r="45" spans="1:6">
      <c r="A45" s="1" t="s">
        <v>51</v>
      </c>
      <c r="B45" s="1">
        <v>2012</v>
      </c>
      <c r="C45" s="1">
        <v>375</v>
      </c>
      <c r="D45" s="4" t="s">
        <v>55</v>
      </c>
      <c r="E45" s="4">
        <v>5005219</v>
      </c>
      <c r="F45" s="5">
        <v>7.4921796628678981E-5</v>
      </c>
    </row>
    <row r="46" spans="1:6">
      <c r="A46" s="1" t="s">
        <v>51</v>
      </c>
      <c r="B46" s="1">
        <v>2013</v>
      </c>
      <c r="C46" s="1">
        <v>397</v>
      </c>
      <c r="D46" s="4" t="s">
        <v>56</v>
      </c>
      <c r="E46" s="4">
        <v>5177271</v>
      </c>
      <c r="F46" s="5">
        <v>7.668132496830859E-5</v>
      </c>
    </row>
    <row r="47" spans="1:6">
      <c r="A47" s="1" t="s">
        <v>51</v>
      </c>
      <c r="B47" s="1">
        <v>2014</v>
      </c>
      <c r="C47" s="1">
        <v>460</v>
      </c>
      <c r="D47" s="4" t="s">
        <v>57</v>
      </c>
      <c r="E47" s="4">
        <v>5270658</v>
      </c>
      <c r="F47" s="5">
        <v>8.7275630481051895E-5</v>
      </c>
    </row>
    <row r="48" spans="1:6">
      <c r="A48" s="1" t="s">
        <v>51</v>
      </c>
      <c r="B48" s="1">
        <v>2015</v>
      </c>
      <c r="C48" s="1">
        <v>440</v>
      </c>
      <c r="D48" s="4" t="s">
        <v>58</v>
      </c>
      <c r="E48" s="4">
        <v>5872653</v>
      </c>
      <c r="F48" s="5">
        <v>7.4923548181716167E-5</v>
      </c>
    </row>
    <row r="49" spans="1:6">
      <c r="A49" s="1" t="s">
        <v>51</v>
      </c>
      <c r="B49" s="1">
        <v>2016</v>
      </c>
      <c r="C49" s="1">
        <v>331</v>
      </c>
      <c r="D49" s="4" t="s">
        <v>59</v>
      </c>
      <c r="E49" s="4">
        <v>5359693</v>
      </c>
      <c r="F49" s="5">
        <v>6.1757268559971623E-5</v>
      </c>
    </row>
    <row r="50" spans="1:6">
      <c r="A50" s="1" t="s">
        <v>60</v>
      </c>
      <c r="B50" s="1">
        <v>2009</v>
      </c>
      <c r="C50" s="1">
        <v>546</v>
      </c>
      <c r="D50" s="4" t="s">
        <v>61</v>
      </c>
      <c r="E50" s="4">
        <v>3494487</v>
      </c>
      <c r="F50" s="5">
        <v>1.5624610994403469E-4</v>
      </c>
    </row>
    <row r="51" spans="1:6">
      <c r="A51" s="1" t="s">
        <v>60</v>
      </c>
      <c r="B51" s="1">
        <v>2010</v>
      </c>
      <c r="C51" s="1">
        <v>459</v>
      </c>
      <c r="D51" s="4" t="s">
        <v>62</v>
      </c>
      <c r="E51" s="4">
        <v>3545837</v>
      </c>
      <c r="F51" s="5">
        <v>1.294475747193117E-4</v>
      </c>
    </row>
    <row r="52" spans="1:6">
      <c r="A52" s="1" t="s">
        <v>60</v>
      </c>
      <c r="B52" s="1">
        <v>2011</v>
      </c>
      <c r="C52" s="1">
        <v>534</v>
      </c>
      <c r="D52" s="4" t="s">
        <v>63</v>
      </c>
      <c r="E52" s="4">
        <v>3558172</v>
      </c>
      <c r="F52" s="5">
        <v>1.5007706204196988E-4</v>
      </c>
    </row>
    <row r="53" spans="1:6">
      <c r="A53" s="1" t="s">
        <v>60</v>
      </c>
      <c r="B53" s="1">
        <v>2012</v>
      </c>
      <c r="C53" s="1">
        <v>430</v>
      </c>
      <c r="D53" s="4" t="s">
        <v>64</v>
      </c>
      <c r="E53" s="4">
        <v>3572213</v>
      </c>
      <c r="F53" s="5">
        <v>1.2037356115102878E-4</v>
      </c>
    </row>
    <row r="54" spans="1:6">
      <c r="A54" s="1" t="s">
        <v>60</v>
      </c>
      <c r="B54" s="1">
        <v>2013</v>
      </c>
      <c r="C54" s="1">
        <v>467</v>
      </c>
      <c r="D54" s="4" t="s">
        <v>65</v>
      </c>
      <c r="E54" s="4">
        <v>3583561</v>
      </c>
      <c r="F54" s="5">
        <v>1.3031730170073847E-4</v>
      </c>
    </row>
    <row r="55" spans="1:6">
      <c r="A55" s="1" t="s">
        <v>60</v>
      </c>
      <c r="B55" s="1">
        <v>2014</v>
      </c>
      <c r="C55" s="1">
        <v>497</v>
      </c>
      <c r="D55" s="4" t="s">
        <v>66</v>
      </c>
      <c r="E55" s="4">
        <v>3592053</v>
      </c>
      <c r="F55" s="5">
        <v>1.3836098743531903E-4</v>
      </c>
    </row>
    <row r="56" spans="1:6">
      <c r="A56" s="1" t="s">
        <v>60</v>
      </c>
      <c r="B56" s="1">
        <v>2015</v>
      </c>
      <c r="C56" s="1">
        <v>548</v>
      </c>
      <c r="D56" s="4" t="s">
        <v>67</v>
      </c>
      <c r="E56" s="4">
        <v>3593222</v>
      </c>
      <c r="F56" s="5">
        <v>1.5250936346265274E-4</v>
      </c>
    </row>
    <row r="57" spans="1:6">
      <c r="A57" s="1" t="s">
        <v>60</v>
      </c>
      <c r="B57" s="1">
        <v>2016</v>
      </c>
      <c r="C57" s="1">
        <v>399</v>
      </c>
      <c r="D57" s="4" t="s">
        <v>68</v>
      </c>
      <c r="E57" s="4">
        <v>3588570</v>
      </c>
      <c r="F57" s="5">
        <v>1.1118634999456609E-4</v>
      </c>
    </row>
    <row r="58" spans="1:6">
      <c r="A58" s="1" t="s">
        <v>69</v>
      </c>
      <c r="B58" s="1">
        <v>2009</v>
      </c>
      <c r="C58" s="1">
        <v>0</v>
      </c>
      <c r="D58" s="4" t="s">
        <v>70</v>
      </c>
      <c r="E58" s="4">
        <v>863832</v>
      </c>
      <c r="F58" s="5">
        <v>0</v>
      </c>
    </row>
    <row r="59" spans="1:6">
      <c r="A59" s="1" t="s">
        <v>69</v>
      </c>
      <c r="B59" s="1">
        <v>2010</v>
      </c>
      <c r="C59" s="1">
        <v>10</v>
      </c>
      <c r="D59" s="4" t="s">
        <v>71</v>
      </c>
      <c r="E59" s="4">
        <v>881278</v>
      </c>
      <c r="F59" s="5">
        <v>1.1347157196707509E-5</v>
      </c>
    </row>
    <row r="60" spans="1:6">
      <c r="A60" s="1" t="s">
        <v>69</v>
      </c>
      <c r="B60" s="1">
        <v>2011</v>
      </c>
      <c r="C60" s="1">
        <v>0</v>
      </c>
      <c r="D60" s="4" t="s">
        <v>72</v>
      </c>
      <c r="E60" s="4">
        <v>890856</v>
      </c>
      <c r="F60" s="5">
        <v>0</v>
      </c>
    </row>
    <row r="61" spans="1:6">
      <c r="A61" s="1" t="s">
        <v>69</v>
      </c>
      <c r="B61" s="1">
        <v>2012</v>
      </c>
      <c r="C61" s="1">
        <v>21</v>
      </c>
      <c r="D61" s="4" t="s">
        <v>73</v>
      </c>
      <c r="E61" s="4">
        <v>900131</v>
      </c>
      <c r="F61" s="5">
        <v>2.3329937531314887E-5</v>
      </c>
    </row>
    <row r="62" spans="1:6">
      <c r="A62" s="1" t="s">
        <v>69</v>
      </c>
      <c r="B62" s="1">
        <v>2013</v>
      </c>
      <c r="C62" s="1">
        <v>10</v>
      </c>
      <c r="D62" s="4" t="s">
        <v>74</v>
      </c>
      <c r="E62" s="4">
        <v>908446</v>
      </c>
      <c r="F62" s="5">
        <v>1.1007808939661796E-5</v>
      </c>
    </row>
    <row r="63" spans="1:6">
      <c r="A63" s="1" t="s">
        <v>69</v>
      </c>
      <c r="B63" s="1">
        <v>2014</v>
      </c>
      <c r="C63" s="1">
        <v>31</v>
      </c>
      <c r="D63" s="4" t="s">
        <v>75</v>
      </c>
      <c r="E63" s="4">
        <v>917060</v>
      </c>
      <c r="F63" s="5">
        <v>3.3803676967701129E-5</v>
      </c>
    </row>
    <row r="64" spans="1:6">
      <c r="A64" s="1" t="s">
        <v>69</v>
      </c>
      <c r="B64" s="1">
        <v>2015</v>
      </c>
      <c r="C64" s="1">
        <v>52</v>
      </c>
      <c r="D64" s="4" t="s">
        <v>76</v>
      </c>
      <c r="E64" s="4">
        <v>926454</v>
      </c>
      <c r="F64" s="5">
        <v>5.612798908526489E-5</v>
      </c>
    </row>
    <row r="65" spans="1:6">
      <c r="A65" s="1" t="s">
        <v>69</v>
      </c>
      <c r="B65" s="1">
        <v>2016</v>
      </c>
      <c r="C65" s="1">
        <v>0</v>
      </c>
      <c r="D65" s="4" t="s">
        <v>77</v>
      </c>
      <c r="E65" s="4">
        <v>934695</v>
      </c>
      <c r="F65" s="5">
        <v>0</v>
      </c>
    </row>
    <row r="66" spans="1:6" ht="15" customHeight="1">
      <c r="A66" s="1" t="s">
        <v>78</v>
      </c>
      <c r="B66" s="1">
        <v>2009</v>
      </c>
      <c r="C66" s="1">
        <v>0</v>
      </c>
      <c r="D66" s="4" t="s">
        <v>79</v>
      </c>
      <c r="E66" s="4">
        <v>588433</v>
      </c>
      <c r="F66" s="5">
        <v>0</v>
      </c>
    </row>
    <row r="67" spans="1:6" ht="15" customHeight="1">
      <c r="A67" s="1" t="s">
        <v>78</v>
      </c>
      <c r="B67" s="1">
        <v>2010</v>
      </c>
      <c r="C67" s="1">
        <v>0</v>
      </c>
      <c r="D67" s="4" t="s">
        <v>80</v>
      </c>
      <c r="E67" s="4">
        <v>584400</v>
      </c>
      <c r="F67" s="5">
        <v>0</v>
      </c>
    </row>
    <row r="68" spans="1:6" ht="15" customHeight="1">
      <c r="A68" s="1" t="s">
        <v>78</v>
      </c>
      <c r="B68" s="1">
        <v>2011</v>
      </c>
      <c r="C68" s="1">
        <v>0</v>
      </c>
      <c r="D68" s="4" t="s">
        <v>81</v>
      </c>
      <c r="E68" s="4">
        <v>593955</v>
      </c>
      <c r="F68" s="5">
        <v>0</v>
      </c>
    </row>
    <row r="69" spans="1:6" ht="15" customHeight="1">
      <c r="A69" s="1" t="s">
        <v>78</v>
      </c>
      <c r="B69" s="1">
        <v>2012</v>
      </c>
      <c r="C69" s="1">
        <v>0</v>
      </c>
      <c r="D69" s="4" t="s">
        <v>82</v>
      </c>
      <c r="E69" s="4">
        <v>605759</v>
      </c>
      <c r="F69" s="5">
        <v>0</v>
      </c>
    </row>
    <row r="70" spans="1:6" ht="15" customHeight="1">
      <c r="A70" s="1" t="s">
        <v>78</v>
      </c>
      <c r="B70" s="1">
        <v>2013</v>
      </c>
      <c r="C70" s="1">
        <v>0</v>
      </c>
      <c r="D70" s="4" t="s">
        <v>83</v>
      </c>
      <c r="E70" s="4">
        <v>619371</v>
      </c>
      <c r="F70" s="5">
        <v>0</v>
      </c>
    </row>
    <row r="71" spans="1:6" ht="15" customHeight="1">
      <c r="A71" s="1" t="s">
        <v>78</v>
      </c>
      <c r="B71" s="1">
        <v>2014</v>
      </c>
      <c r="C71" s="1">
        <v>0</v>
      </c>
      <c r="D71" s="4" t="s">
        <v>84</v>
      </c>
      <c r="E71" s="4">
        <v>633736</v>
      </c>
      <c r="F71" s="5">
        <v>0</v>
      </c>
    </row>
    <row r="72" spans="1:6" ht="15" customHeight="1">
      <c r="A72" s="1" t="s">
        <v>78</v>
      </c>
      <c r="B72" s="1">
        <v>2015</v>
      </c>
      <c r="C72" s="1">
        <v>0</v>
      </c>
      <c r="D72" s="4" t="s">
        <v>85</v>
      </c>
      <c r="E72" s="4">
        <v>647484</v>
      </c>
      <c r="F72" s="5">
        <v>0</v>
      </c>
    </row>
    <row r="73" spans="1:6" ht="15" customHeight="1">
      <c r="A73" s="1" t="s">
        <v>78</v>
      </c>
      <c r="B73" s="1">
        <v>2016</v>
      </c>
      <c r="C73" s="1">
        <v>0</v>
      </c>
      <c r="D73" s="4" t="s">
        <v>86</v>
      </c>
      <c r="E73" s="4">
        <v>659009</v>
      </c>
      <c r="F73" s="5">
        <v>0</v>
      </c>
    </row>
    <row r="74" spans="1:6">
      <c r="A74" s="1" t="s">
        <v>87</v>
      </c>
      <c r="B74" s="1">
        <v>2009</v>
      </c>
      <c r="C74" s="1">
        <v>2254</v>
      </c>
      <c r="D74" s="4" t="s">
        <v>88</v>
      </c>
      <c r="E74" s="4">
        <v>18222420</v>
      </c>
      <c r="F74" s="5">
        <v>1.2369377942117457E-4</v>
      </c>
    </row>
    <row r="75" spans="1:6">
      <c r="A75" s="1" t="s">
        <v>87</v>
      </c>
      <c r="B75" s="1">
        <v>2010</v>
      </c>
      <c r="C75" s="1">
        <v>2104</v>
      </c>
      <c r="D75" s="4" t="s">
        <v>89</v>
      </c>
      <c r="E75" s="4">
        <v>18549507</v>
      </c>
      <c r="F75" s="5">
        <v>1.1342619510049512E-4</v>
      </c>
    </row>
    <row r="76" spans="1:6">
      <c r="A76" s="1" t="s">
        <v>87</v>
      </c>
      <c r="B76" s="1">
        <v>2011</v>
      </c>
      <c r="C76" s="1">
        <v>2311</v>
      </c>
      <c r="D76" s="4" t="s">
        <v>90</v>
      </c>
      <c r="E76" s="4">
        <v>18633958</v>
      </c>
      <c r="F76" s="5">
        <v>1.24020887027866E-4</v>
      </c>
    </row>
    <row r="77" spans="1:6">
      <c r="A77" s="1" t="s">
        <v>87</v>
      </c>
      <c r="B77" s="1">
        <v>2012</v>
      </c>
      <c r="C77" s="1">
        <v>2196</v>
      </c>
      <c r="D77" s="4" t="s">
        <v>91</v>
      </c>
      <c r="E77" s="4">
        <v>18696017</v>
      </c>
      <c r="F77" s="5">
        <v>1.1745817304295349E-4</v>
      </c>
    </row>
    <row r="78" spans="1:6">
      <c r="A78" s="1" t="s">
        <v>87</v>
      </c>
      <c r="B78" s="1">
        <v>2013</v>
      </c>
      <c r="C78" s="1">
        <v>2542</v>
      </c>
      <c r="D78" s="4" t="s">
        <v>92</v>
      </c>
      <c r="E78" s="4">
        <v>18828013</v>
      </c>
      <c r="F78" s="5">
        <v>1.3501159150463728E-4</v>
      </c>
    </row>
    <row r="79" spans="1:6">
      <c r="A79" s="1" t="s">
        <v>87</v>
      </c>
      <c r="B79" s="1">
        <v>2014</v>
      </c>
      <c r="C79" s="1">
        <v>2594</v>
      </c>
      <c r="D79" s="4" t="s">
        <v>93</v>
      </c>
      <c r="E79" s="4">
        <v>19202176</v>
      </c>
      <c r="F79" s="5">
        <v>1.3508885659625243E-4</v>
      </c>
    </row>
    <row r="80" spans="1:6">
      <c r="A80" s="1" t="s">
        <v>87</v>
      </c>
      <c r="B80" s="1">
        <v>2015</v>
      </c>
      <c r="C80" s="1">
        <v>2551</v>
      </c>
      <c r="D80" s="4" t="s">
        <v>94</v>
      </c>
      <c r="E80" s="4">
        <v>19358086</v>
      </c>
      <c r="F80" s="5">
        <v>1.3177955713183627E-4</v>
      </c>
    </row>
    <row r="81" spans="1:6">
      <c r="A81" s="1" t="s">
        <v>87</v>
      </c>
      <c r="B81" s="1">
        <v>2016</v>
      </c>
      <c r="C81" s="1">
        <v>2672</v>
      </c>
      <c r="D81" s="4" t="s">
        <v>95</v>
      </c>
      <c r="E81" s="4">
        <v>20031616</v>
      </c>
      <c r="F81" s="5">
        <v>1.3338913844993834E-4</v>
      </c>
    </row>
    <row r="82" spans="1:6">
      <c r="A82" s="1" t="s">
        <v>96</v>
      </c>
      <c r="B82" s="1">
        <v>2009</v>
      </c>
      <c r="C82" s="1">
        <v>1318</v>
      </c>
      <c r="D82" s="4" t="s">
        <v>97</v>
      </c>
      <c r="E82" s="4">
        <v>9713030</v>
      </c>
      <c r="F82" s="5">
        <v>1.3569401103466169E-4</v>
      </c>
    </row>
    <row r="83" spans="1:6">
      <c r="A83" s="1" t="s">
        <v>96</v>
      </c>
      <c r="B83" s="1">
        <v>2010</v>
      </c>
      <c r="C83" s="1">
        <v>1285</v>
      </c>
      <c r="D83" s="4" t="s">
        <v>98</v>
      </c>
      <c r="E83" s="4">
        <v>9598767</v>
      </c>
      <c r="F83" s="5">
        <v>1.3387136076956551E-4</v>
      </c>
    </row>
    <row r="84" spans="1:6">
      <c r="A84" s="1" t="s">
        <v>96</v>
      </c>
      <c r="B84" s="1">
        <v>2011</v>
      </c>
      <c r="C84" s="1">
        <v>1315</v>
      </c>
      <c r="D84" s="4" t="s">
        <v>99</v>
      </c>
      <c r="E84" s="4">
        <v>9627433</v>
      </c>
      <c r="F84" s="5">
        <v>1.3658884980035697E-4</v>
      </c>
    </row>
    <row r="85" spans="1:6">
      <c r="A85" s="1" t="s">
        <v>96</v>
      </c>
      <c r="B85" s="1">
        <v>2012</v>
      </c>
      <c r="C85" s="1">
        <v>1230</v>
      </c>
      <c r="D85" s="4" t="s">
        <v>100</v>
      </c>
      <c r="E85" s="4">
        <v>9955103</v>
      </c>
      <c r="F85" s="5">
        <v>1.2355472364273881E-4</v>
      </c>
    </row>
    <row r="86" spans="1:6">
      <c r="A86" s="1" t="s">
        <v>96</v>
      </c>
      <c r="B86" s="1">
        <v>2013</v>
      </c>
      <c r="C86" s="1">
        <v>1323</v>
      </c>
      <c r="D86" s="4" t="s">
        <v>101</v>
      </c>
      <c r="E86" s="4">
        <v>10022337</v>
      </c>
      <c r="F86" s="5">
        <v>1.3200514011851727E-4</v>
      </c>
    </row>
    <row r="87" spans="1:6">
      <c r="A87" s="1" t="s">
        <v>96</v>
      </c>
      <c r="B87" s="1">
        <v>2014</v>
      </c>
      <c r="C87" s="1">
        <v>1381</v>
      </c>
      <c r="D87" s="4" t="s">
        <v>102</v>
      </c>
      <c r="E87" s="4">
        <v>9817046</v>
      </c>
      <c r="F87" s="5">
        <v>1.4067368126827561E-4</v>
      </c>
    </row>
    <row r="88" spans="1:6">
      <c r="A88" s="1" t="s">
        <v>96</v>
      </c>
      <c r="B88" s="1">
        <v>2015</v>
      </c>
      <c r="C88" s="1">
        <v>1332</v>
      </c>
      <c r="D88" s="4" t="s">
        <v>103</v>
      </c>
      <c r="E88" s="4">
        <v>10307372</v>
      </c>
      <c r="F88" s="5">
        <v>1.2922789630567325E-4</v>
      </c>
    </row>
    <row r="89" spans="1:6">
      <c r="A89" s="1" t="s">
        <v>96</v>
      </c>
      <c r="B89" s="1">
        <v>2016</v>
      </c>
      <c r="C89" s="1">
        <v>1270</v>
      </c>
      <c r="D89" s="4" t="s">
        <v>104</v>
      </c>
      <c r="E89" s="4">
        <v>10082058</v>
      </c>
      <c r="F89" s="5">
        <v>1.259663453632185E-4</v>
      </c>
    </row>
    <row r="90" spans="1:6">
      <c r="A90" s="1" t="s">
        <v>105</v>
      </c>
      <c r="B90" s="1">
        <v>2009</v>
      </c>
      <c r="C90" s="1">
        <v>105</v>
      </c>
      <c r="D90" s="4" t="s">
        <v>106</v>
      </c>
      <c r="E90" s="4">
        <v>1280241</v>
      </c>
      <c r="F90" s="5">
        <v>8.2015807961157309E-5</v>
      </c>
    </row>
    <row r="91" spans="1:6">
      <c r="A91" s="1" t="s">
        <v>105</v>
      </c>
      <c r="B91" s="1">
        <v>2010</v>
      </c>
      <c r="C91" s="1">
        <v>141</v>
      </c>
      <c r="D91" s="4" t="s">
        <v>107</v>
      </c>
      <c r="E91" s="4">
        <v>1333591</v>
      </c>
      <c r="F91" s="5">
        <v>1.0572956776103018E-4</v>
      </c>
    </row>
    <row r="92" spans="1:6">
      <c r="A92" s="1" t="s">
        <v>105</v>
      </c>
      <c r="B92" s="1">
        <v>2011</v>
      </c>
      <c r="C92" s="1">
        <v>193</v>
      </c>
      <c r="D92" s="4" t="s">
        <v>108</v>
      </c>
      <c r="E92" s="4">
        <v>1346554</v>
      </c>
      <c r="F92" s="5">
        <v>1.4332882305499817E-4</v>
      </c>
    </row>
    <row r="93" spans="1:6">
      <c r="A93" s="1" t="s">
        <v>105</v>
      </c>
      <c r="B93" s="1">
        <v>2012</v>
      </c>
      <c r="C93" s="1">
        <v>270</v>
      </c>
      <c r="D93" s="4" t="s">
        <v>109</v>
      </c>
      <c r="E93" s="4">
        <v>1362730</v>
      </c>
      <c r="F93" s="5">
        <v>1.9813169153097093E-4</v>
      </c>
    </row>
    <row r="94" spans="1:6">
      <c r="A94" s="1" t="s">
        <v>105</v>
      </c>
      <c r="B94" s="1">
        <v>2013</v>
      </c>
      <c r="C94" s="1">
        <v>319</v>
      </c>
      <c r="D94" s="4" t="s">
        <v>110</v>
      </c>
      <c r="E94" s="4">
        <v>1376298</v>
      </c>
      <c r="F94" s="5">
        <v>2.3178119854857016E-4</v>
      </c>
    </row>
    <row r="95" spans="1:6">
      <c r="A95" s="1" t="s">
        <v>105</v>
      </c>
      <c r="B95" s="1">
        <v>2014</v>
      </c>
      <c r="C95" s="1">
        <v>286</v>
      </c>
      <c r="D95" s="4" t="s">
        <v>111</v>
      </c>
      <c r="E95" s="4">
        <v>1391072</v>
      </c>
      <c r="F95" s="5">
        <v>2.0559683467139011E-4</v>
      </c>
    </row>
    <row r="96" spans="1:6">
      <c r="A96" s="1" t="s">
        <v>105</v>
      </c>
      <c r="B96" s="1">
        <v>2015</v>
      </c>
      <c r="C96" s="1">
        <v>405</v>
      </c>
      <c r="D96" s="4" t="s">
        <v>112</v>
      </c>
      <c r="E96" s="4">
        <v>1406214</v>
      </c>
      <c r="F96" s="5">
        <v>2.8800737298874851E-4</v>
      </c>
    </row>
    <row r="97" spans="1:6">
      <c r="A97" s="1" t="s">
        <v>105</v>
      </c>
      <c r="B97" s="1">
        <v>2016</v>
      </c>
      <c r="C97" s="1">
        <v>348</v>
      </c>
      <c r="D97" s="4" t="s">
        <v>113</v>
      </c>
      <c r="E97" s="4">
        <v>1413673</v>
      </c>
      <c r="F97" s="5">
        <v>2.4616725367181802E-4</v>
      </c>
    </row>
    <row r="98" spans="1:6">
      <c r="A98" s="1" t="s">
        <v>114</v>
      </c>
      <c r="B98" s="1">
        <v>2009</v>
      </c>
      <c r="C98" s="1">
        <v>10</v>
      </c>
      <c r="D98" s="4" t="s">
        <v>115</v>
      </c>
      <c r="E98" s="4">
        <v>1498101</v>
      </c>
      <c r="F98" s="5">
        <v>6.6751173652510742E-6</v>
      </c>
    </row>
    <row r="99" spans="1:6">
      <c r="A99" s="1" t="s">
        <v>114</v>
      </c>
      <c r="B99" s="1">
        <v>2010</v>
      </c>
      <c r="C99" s="1">
        <v>78</v>
      </c>
      <c r="D99" s="4" t="s">
        <v>116</v>
      </c>
      <c r="E99" s="4">
        <v>1535086</v>
      </c>
      <c r="F99" s="5">
        <v>5.0811485480292311E-5</v>
      </c>
    </row>
    <row r="100" spans="1:6">
      <c r="A100" s="1" t="s">
        <v>114</v>
      </c>
      <c r="B100" s="1">
        <v>2011</v>
      </c>
      <c r="C100" s="1">
        <v>61</v>
      </c>
      <c r="D100" s="4" t="s">
        <v>117</v>
      </c>
      <c r="E100" s="4">
        <v>1587086</v>
      </c>
      <c r="F100" s="5">
        <v>3.8435220271617292E-5</v>
      </c>
    </row>
    <row r="101" spans="1:6">
      <c r="A101" s="1" t="s">
        <v>114</v>
      </c>
      <c r="B101" s="1">
        <v>2012</v>
      </c>
      <c r="C101" s="1">
        <v>46</v>
      </c>
      <c r="D101" s="4" t="s">
        <v>118</v>
      </c>
      <c r="E101" s="4">
        <v>1570747</v>
      </c>
      <c r="F101" s="5">
        <v>2.9285429162048375E-5</v>
      </c>
    </row>
    <row r="102" spans="1:6">
      <c r="A102" s="1" t="s">
        <v>114</v>
      </c>
      <c r="B102" s="1">
        <v>2013</v>
      </c>
      <c r="C102" s="1">
        <v>106</v>
      </c>
      <c r="D102" s="4" t="s">
        <v>119</v>
      </c>
      <c r="E102" s="4">
        <v>1704449</v>
      </c>
      <c r="F102" s="5">
        <v>6.2190185801980585E-5</v>
      </c>
    </row>
    <row r="103" spans="1:6">
      <c r="A103" s="1" t="s">
        <v>114</v>
      </c>
      <c r="B103" s="1">
        <v>2014</v>
      </c>
      <c r="C103" s="1">
        <v>56</v>
      </c>
      <c r="D103" s="4" t="s">
        <v>120</v>
      </c>
      <c r="E103" s="4">
        <v>1650525</v>
      </c>
      <c r="F103" s="5">
        <v>3.3928598476242405E-5</v>
      </c>
    </row>
    <row r="104" spans="1:6">
      <c r="A104" s="1" t="s">
        <v>114</v>
      </c>
      <c r="B104" s="1">
        <v>2015</v>
      </c>
      <c r="C104" s="1">
        <v>82</v>
      </c>
      <c r="D104" s="4" t="s">
        <v>121</v>
      </c>
      <c r="E104" s="4">
        <v>1705292</v>
      </c>
      <c r="F104" s="5">
        <v>4.8085606453322949E-5</v>
      </c>
    </row>
    <row r="105" spans="1:6">
      <c r="A105" s="1" t="s">
        <v>114</v>
      </c>
      <c r="B105" s="1">
        <v>2016</v>
      </c>
      <c r="C105" s="1">
        <v>42</v>
      </c>
      <c r="D105" s="4" t="s">
        <v>122</v>
      </c>
      <c r="E105" s="4">
        <v>1554682</v>
      </c>
      <c r="F105" s="5">
        <v>2.701517094814245E-5</v>
      </c>
    </row>
    <row r="106" spans="1:6">
      <c r="A106" s="1" t="s">
        <v>123</v>
      </c>
      <c r="B106" s="1">
        <v>2009</v>
      </c>
      <c r="C106" s="1">
        <v>2268</v>
      </c>
      <c r="D106" s="4" t="s">
        <v>124</v>
      </c>
      <c r="E106" s="4">
        <v>12892496</v>
      </c>
      <c r="F106" s="5">
        <v>1.7591628494590961E-4</v>
      </c>
    </row>
    <row r="107" spans="1:6">
      <c r="A107" s="1" t="s">
        <v>123</v>
      </c>
      <c r="B107" s="1">
        <v>2010</v>
      </c>
      <c r="C107" s="1">
        <v>2080</v>
      </c>
      <c r="D107" s="4" t="s">
        <v>125</v>
      </c>
      <c r="E107" s="4">
        <v>12896183</v>
      </c>
      <c r="F107" s="5">
        <v>1.6128803383140577E-4</v>
      </c>
    </row>
    <row r="108" spans="1:6">
      <c r="A108" s="1" t="s">
        <v>123</v>
      </c>
      <c r="B108" s="1">
        <v>2011</v>
      </c>
      <c r="C108" s="1">
        <v>2291</v>
      </c>
      <c r="D108" s="4" t="s">
        <v>126</v>
      </c>
      <c r="E108" s="4">
        <v>12741975</v>
      </c>
      <c r="F108" s="5">
        <v>1.7979944239413434E-4</v>
      </c>
    </row>
    <row r="109" spans="1:6">
      <c r="A109" s="1" t="s">
        <v>123</v>
      </c>
      <c r="B109" s="1">
        <v>2012</v>
      </c>
      <c r="C109" s="1">
        <v>2201</v>
      </c>
      <c r="D109" s="4" t="s">
        <v>127</v>
      </c>
      <c r="E109" s="4">
        <v>12856518</v>
      </c>
      <c r="F109" s="5">
        <v>1.7119720907324984E-4</v>
      </c>
    </row>
    <row r="110" spans="1:6">
      <c r="A110" s="1" t="s">
        <v>123</v>
      </c>
      <c r="B110" s="1">
        <v>2013</v>
      </c>
      <c r="C110" s="1">
        <v>2307</v>
      </c>
      <c r="D110" s="4" t="s">
        <v>128</v>
      </c>
      <c r="E110" s="4">
        <v>12791075</v>
      </c>
      <c r="F110" s="5">
        <v>1.8036013392150387E-4</v>
      </c>
    </row>
    <row r="111" spans="1:6">
      <c r="A111" s="1" t="s">
        <v>123</v>
      </c>
      <c r="B111" s="1">
        <v>2014</v>
      </c>
      <c r="C111" s="1">
        <v>2354</v>
      </c>
      <c r="D111" s="4" t="s">
        <v>129</v>
      </c>
      <c r="E111" s="4">
        <v>12811495</v>
      </c>
      <c r="F111" s="5">
        <v>1.8374124175203597E-4</v>
      </c>
    </row>
    <row r="112" spans="1:6">
      <c r="A112" s="1" t="s">
        <v>123</v>
      </c>
      <c r="B112" s="1">
        <v>2015</v>
      </c>
      <c r="C112" s="1">
        <v>2211</v>
      </c>
      <c r="D112" s="4" t="s">
        <v>130</v>
      </c>
      <c r="E112" s="4">
        <v>13220780</v>
      </c>
      <c r="F112" s="5">
        <v>1.6723672884655822E-4</v>
      </c>
    </row>
    <row r="113" spans="1:6">
      <c r="A113" s="1" t="s">
        <v>123</v>
      </c>
      <c r="B113" s="1">
        <v>2016</v>
      </c>
      <c r="C113" s="1">
        <v>2041</v>
      </c>
      <c r="D113" s="4" t="s">
        <v>131</v>
      </c>
      <c r="E113" s="4">
        <v>12858632</v>
      </c>
      <c r="F113" s="5">
        <v>1.5872606043939978E-4</v>
      </c>
    </row>
    <row r="114" spans="1:6">
      <c r="A114" s="1" t="s">
        <v>132</v>
      </c>
      <c r="B114" s="1">
        <v>2009</v>
      </c>
      <c r="C114" s="1">
        <v>976</v>
      </c>
      <c r="D114" s="4" t="s">
        <v>133</v>
      </c>
      <c r="E114" s="4">
        <v>6401961</v>
      </c>
      <c r="F114" s="5">
        <v>1.5245328735991986E-4</v>
      </c>
    </row>
    <row r="115" spans="1:6">
      <c r="A115" s="1" t="s">
        <v>132</v>
      </c>
      <c r="B115" s="1">
        <v>2010</v>
      </c>
      <c r="C115" s="1">
        <v>1004</v>
      </c>
      <c r="D115" s="4" t="s">
        <v>134</v>
      </c>
      <c r="E115" s="4">
        <v>6481765</v>
      </c>
      <c r="F115" s="5">
        <v>1.5489608154569011E-4</v>
      </c>
    </row>
    <row r="116" spans="1:6">
      <c r="A116" s="1" t="s">
        <v>132</v>
      </c>
      <c r="B116" s="1">
        <v>2011</v>
      </c>
      <c r="C116" s="1">
        <v>797</v>
      </c>
      <c r="D116" s="4" t="s">
        <v>135</v>
      </c>
      <c r="E116" s="4">
        <v>6258004</v>
      </c>
      <c r="F116" s="5">
        <v>1.2735690165746139E-4</v>
      </c>
    </row>
    <row r="117" spans="1:6">
      <c r="A117" s="1" t="s">
        <v>132</v>
      </c>
      <c r="B117" s="1">
        <v>2012</v>
      </c>
      <c r="C117" s="1">
        <v>751</v>
      </c>
      <c r="D117" s="4" t="s">
        <v>136</v>
      </c>
      <c r="E117" s="4">
        <v>6524394</v>
      </c>
      <c r="F117" s="5">
        <v>1.1510647578916908E-4</v>
      </c>
    </row>
    <row r="118" spans="1:6">
      <c r="A118" s="1" t="s">
        <v>132</v>
      </c>
      <c r="B118" s="1">
        <v>2013</v>
      </c>
      <c r="C118" s="1">
        <v>947</v>
      </c>
      <c r="D118" s="4" t="s">
        <v>137</v>
      </c>
      <c r="E118" s="4">
        <v>6566223</v>
      </c>
      <c r="F118" s="5">
        <v>1.4422294216934149E-4</v>
      </c>
    </row>
    <row r="119" spans="1:6">
      <c r="A119" s="1" t="s">
        <v>132</v>
      </c>
      <c r="B119" s="1">
        <v>2014</v>
      </c>
      <c r="C119" s="1">
        <v>882</v>
      </c>
      <c r="D119" s="4" t="s">
        <v>138</v>
      </c>
      <c r="E119" s="4">
        <v>6372916</v>
      </c>
      <c r="F119" s="5">
        <v>1.3839818381412841E-4</v>
      </c>
    </row>
    <row r="120" spans="1:6">
      <c r="A120" s="1" t="s">
        <v>132</v>
      </c>
      <c r="B120" s="1">
        <v>2015</v>
      </c>
      <c r="C120" s="1">
        <v>863</v>
      </c>
      <c r="D120" s="4" t="s">
        <v>139</v>
      </c>
      <c r="E120" s="4">
        <v>6539401</v>
      </c>
      <c r="F120" s="5">
        <v>1.3196927363836534E-4</v>
      </c>
    </row>
    <row r="121" spans="1:6">
      <c r="A121" s="1" t="s">
        <v>132</v>
      </c>
      <c r="B121" s="1">
        <v>2016</v>
      </c>
      <c r="C121" s="1">
        <v>812</v>
      </c>
      <c r="D121" s="4" t="s">
        <v>140</v>
      </c>
      <c r="E121" s="4">
        <v>6685870</v>
      </c>
      <c r="F121" s="5">
        <v>1.214501628060372E-4</v>
      </c>
    </row>
    <row r="122" spans="1:6">
      <c r="A122" s="1" t="s">
        <v>141</v>
      </c>
      <c r="B122" s="1">
        <v>2009</v>
      </c>
      <c r="C122" s="1">
        <v>528</v>
      </c>
      <c r="D122" s="4" t="s">
        <v>142</v>
      </c>
      <c r="E122" s="4">
        <v>2972825</v>
      </c>
      <c r="F122" s="5">
        <v>1.7760884007635836E-4</v>
      </c>
    </row>
    <row r="123" spans="1:6">
      <c r="A123" s="1" t="s">
        <v>141</v>
      </c>
      <c r="B123" s="1">
        <v>2010</v>
      </c>
      <c r="C123" s="1">
        <v>434</v>
      </c>
      <c r="D123" s="4" t="s">
        <v>143</v>
      </c>
      <c r="E123" s="4">
        <v>2995769</v>
      </c>
      <c r="F123" s="5">
        <v>1.448709830430851E-4</v>
      </c>
    </row>
    <row r="124" spans="1:6">
      <c r="A124" s="1" t="s">
        <v>141</v>
      </c>
      <c r="B124" s="1">
        <v>2011</v>
      </c>
      <c r="C124" s="1">
        <v>497</v>
      </c>
      <c r="D124" s="4" t="s">
        <v>144</v>
      </c>
      <c r="E124" s="4">
        <v>2980619</v>
      </c>
      <c r="F124" s="5">
        <v>1.6674388776291099E-4</v>
      </c>
    </row>
    <row r="125" spans="1:6">
      <c r="A125" s="1" t="s">
        <v>141</v>
      </c>
      <c r="B125" s="1">
        <v>2012</v>
      </c>
      <c r="C125" s="1">
        <v>513</v>
      </c>
      <c r="D125" s="4" t="s">
        <v>145</v>
      </c>
      <c r="E125" s="4">
        <v>3164320</v>
      </c>
      <c r="F125" s="5">
        <v>1.6212013955604996E-4</v>
      </c>
    </row>
    <row r="126" spans="1:6">
      <c r="A126" s="1" t="s">
        <v>141</v>
      </c>
      <c r="B126" s="1">
        <v>2013</v>
      </c>
      <c r="C126" s="1">
        <v>621</v>
      </c>
      <c r="D126" s="4" t="s">
        <v>146</v>
      </c>
      <c r="E126" s="4">
        <v>3011954</v>
      </c>
      <c r="F126" s="5">
        <v>2.0617844761241374E-4</v>
      </c>
    </row>
    <row r="127" spans="1:6">
      <c r="A127" s="1" t="s">
        <v>141</v>
      </c>
      <c r="B127" s="1">
        <v>2014</v>
      </c>
      <c r="C127" s="1">
        <v>420</v>
      </c>
      <c r="D127" s="4" t="s">
        <v>147</v>
      </c>
      <c r="E127" s="4">
        <v>2996688</v>
      </c>
      <c r="F127" s="5">
        <v>1.4015473082282842E-4</v>
      </c>
    </row>
    <row r="128" spans="1:6">
      <c r="A128" s="1" t="s">
        <v>141</v>
      </c>
      <c r="B128" s="1">
        <v>2015</v>
      </c>
      <c r="C128" s="1">
        <v>462</v>
      </c>
      <c r="D128" s="4" t="s">
        <v>148</v>
      </c>
      <c r="E128" s="4">
        <v>3310134</v>
      </c>
      <c r="F128" s="5">
        <v>1.3957138895283393E-4</v>
      </c>
    </row>
    <row r="129" spans="1:6">
      <c r="A129" s="1" t="s">
        <v>141</v>
      </c>
      <c r="B129" s="1">
        <v>2016</v>
      </c>
      <c r="C129" s="1">
        <v>362</v>
      </c>
      <c r="D129" s="4" t="s">
        <v>149</v>
      </c>
      <c r="E129" s="4">
        <v>3128608</v>
      </c>
      <c r="F129" s="5">
        <v>1.1570641000726202E-4</v>
      </c>
    </row>
    <row r="130" spans="1:6">
      <c r="A130" s="1" t="s">
        <v>150</v>
      </c>
      <c r="B130" s="1">
        <v>2009</v>
      </c>
      <c r="C130" s="1">
        <v>449</v>
      </c>
      <c r="D130" s="4" t="s">
        <v>151</v>
      </c>
      <c r="E130" s="4">
        <v>2793990</v>
      </c>
      <c r="F130" s="5">
        <v>1.6070207838968643E-4</v>
      </c>
    </row>
    <row r="131" spans="1:6">
      <c r="A131" s="1" t="s">
        <v>150</v>
      </c>
      <c r="B131" s="1">
        <v>2010</v>
      </c>
      <c r="C131" s="1">
        <v>402</v>
      </c>
      <c r="D131" s="4" t="s">
        <v>152</v>
      </c>
      <c r="E131" s="4">
        <v>2740733</v>
      </c>
      <c r="F131" s="5">
        <v>1.4667608993652428E-4</v>
      </c>
    </row>
    <row r="132" spans="1:6">
      <c r="A132" s="1" t="s">
        <v>150</v>
      </c>
      <c r="B132" s="1">
        <v>2011</v>
      </c>
      <c r="C132" s="1">
        <v>481</v>
      </c>
      <c r="D132" s="4" t="s">
        <v>153</v>
      </c>
      <c r="E132" s="4">
        <v>2931206</v>
      </c>
      <c r="F132" s="5">
        <v>1.6409627982475473E-4</v>
      </c>
    </row>
    <row r="133" spans="1:6">
      <c r="A133" s="1" t="s">
        <v>150</v>
      </c>
      <c r="B133" s="1">
        <v>2012</v>
      </c>
      <c r="C133" s="1">
        <v>492</v>
      </c>
      <c r="D133" s="4" t="s">
        <v>154</v>
      </c>
      <c r="E133" s="4">
        <v>2925322</v>
      </c>
      <c r="F133" s="5">
        <v>1.681866133027407E-4</v>
      </c>
    </row>
    <row r="134" spans="1:6">
      <c r="A134" s="1" t="s">
        <v>150</v>
      </c>
      <c r="B134" s="1">
        <v>2013</v>
      </c>
      <c r="C134" s="1">
        <v>548</v>
      </c>
      <c r="D134" s="4" t="s">
        <v>155</v>
      </c>
      <c r="E134" s="4">
        <v>2873594</v>
      </c>
      <c r="F134" s="5">
        <v>1.9070195720063447E-4</v>
      </c>
    </row>
    <row r="135" spans="1:6">
      <c r="A135" s="1" t="s">
        <v>150</v>
      </c>
      <c r="B135" s="1">
        <v>2014</v>
      </c>
      <c r="C135" s="1">
        <v>465</v>
      </c>
      <c r="D135" s="4" t="s">
        <v>156</v>
      </c>
      <c r="E135" s="4">
        <v>2905975</v>
      </c>
      <c r="F135" s="5">
        <v>1.600151412176636E-4</v>
      </c>
    </row>
    <row r="136" spans="1:6">
      <c r="A136" s="1" t="s">
        <v>150</v>
      </c>
      <c r="B136" s="1">
        <v>2015</v>
      </c>
      <c r="C136" s="1">
        <v>497</v>
      </c>
      <c r="D136" s="4" t="s">
        <v>157</v>
      </c>
      <c r="E136" s="4">
        <v>2985149</v>
      </c>
      <c r="F136" s="5">
        <v>1.664908518804254E-4</v>
      </c>
    </row>
    <row r="137" spans="1:6">
      <c r="A137" s="1" t="s">
        <v>150</v>
      </c>
      <c r="B137" s="1">
        <v>2016</v>
      </c>
      <c r="C137" s="1">
        <v>384</v>
      </c>
      <c r="D137" s="4" t="s">
        <v>158</v>
      </c>
      <c r="E137" s="4">
        <v>2919733</v>
      </c>
      <c r="F137" s="5">
        <v>1.3151887518481997E-4</v>
      </c>
    </row>
    <row r="138" spans="1:6">
      <c r="A138" s="1" t="s">
        <v>159</v>
      </c>
      <c r="B138" s="1">
        <v>2009</v>
      </c>
      <c r="C138" s="1">
        <v>828</v>
      </c>
      <c r="D138" s="4" t="s">
        <v>160</v>
      </c>
      <c r="E138" s="4">
        <v>4318288</v>
      </c>
      <c r="F138" s="5">
        <v>1.9174265357011852E-4</v>
      </c>
    </row>
    <row r="139" spans="1:6">
      <c r="A139" s="1" t="s">
        <v>159</v>
      </c>
      <c r="B139" s="1">
        <v>2010</v>
      </c>
      <c r="C139" s="1">
        <v>745</v>
      </c>
      <c r="D139" s="4" t="s">
        <v>161</v>
      </c>
      <c r="E139" s="4">
        <v>4178330</v>
      </c>
      <c r="F139" s="5">
        <v>1.7830090012038301E-4</v>
      </c>
    </row>
    <row r="140" spans="1:6">
      <c r="A140" s="1" t="s">
        <v>159</v>
      </c>
      <c r="B140" s="1">
        <v>2011</v>
      </c>
      <c r="C140" s="1">
        <v>800</v>
      </c>
      <c r="D140" s="4" t="s">
        <v>162</v>
      </c>
      <c r="E140" s="4">
        <v>4295103</v>
      </c>
      <c r="F140" s="5">
        <v>1.8625862988617503E-4</v>
      </c>
    </row>
    <row r="141" spans="1:6">
      <c r="A141" s="1" t="s">
        <v>159</v>
      </c>
      <c r="B141" s="1">
        <v>2012</v>
      </c>
      <c r="C141" s="1">
        <v>714</v>
      </c>
      <c r="D141" s="4" t="s">
        <v>163</v>
      </c>
      <c r="E141" s="4">
        <v>4353333</v>
      </c>
      <c r="F141" s="5">
        <v>1.6401226370691145E-4</v>
      </c>
    </row>
    <row r="142" spans="1:6">
      <c r="A142" s="1" t="s">
        <v>159</v>
      </c>
      <c r="B142" s="1">
        <v>2013</v>
      </c>
      <c r="C142" s="1">
        <v>757</v>
      </c>
      <c r="D142" s="4" t="s">
        <v>164</v>
      </c>
      <c r="E142" s="4">
        <v>4383424</v>
      </c>
      <c r="F142" s="5">
        <v>1.7269604765589639E-4</v>
      </c>
    </row>
    <row r="143" spans="1:6">
      <c r="A143" s="1" t="s">
        <v>159</v>
      </c>
      <c r="B143" s="1">
        <v>2014</v>
      </c>
      <c r="C143" s="1">
        <v>860</v>
      </c>
      <c r="D143" s="4" t="s">
        <v>165</v>
      </c>
      <c r="E143" s="4">
        <v>4391453</v>
      </c>
      <c r="F143" s="5">
        <v>1.9583495485435003E-4</v>
      </c>
    </row>
    <row r="144" spans="1:6">
      <c r="A144" s="1" t="s">
        <v>159</v>
      </c>
      <c r="B144" s="1">
        <v>2015</v>
      </c>
      <c r="C144" s="1">
        <v>835</v>
      </c>
      <c r="D144" s="4" t="s">
        <v>166</v>
      </c>
      <c r="E144" s="4">
        <v>4777819</v>
      </c>
      <c r="F144" s="5">
        <v>1.7476593399624388E-4</v>
      </c>
    </row>
    <row r="145" spans="1:6">
      <c r="A145" s="1" t="s">
        <v>159</v>
      </c>
      <c r="B145" s="1">
        <v>2016</v>
      </c>
      <c r="C145" s="1">
        <v>744</v>
      </c>
      <c r="D145" s="4" t="s">
        <v>167</v>
      </c>
      <c r="E145" s="4">
        <v>4572329</v>
      </c>
      <c r="F145" s="5">
        <v>1.627179496488551E-4</v>
      </c>
    </row>
    <row r="146" spans="1:6">
      <c r="A146" s="1" t="s">
        <v>168</v>
      </c>
      <c r="B146" s="1">
        <v>2009</v>
      </c>
      <c r="C146" s="1">
        <v>661</v>
      </c>
      <c r="D146" s="4" t="s">
        <v>169</v>
      </c>
      <c r="E146" s="4">
        <v>4437074</v>
      </c>
      <c r="F146" s="5">
        <v>1.4897204779546161E-4</v>
      </c>
    </row>
    <row r="147" spans="1:6">
      <c r="A147" s="1" t="s">
        <v>168</v>
      </c>
      <c r="B147" s="1">
        <v>2010</v>
      </c>
      <c r="C147" s="1">
        <v>718</v>
      </c>
      <c r="D147" s="4" t="s">
        <v>170</v>
      </c>
      <c r="E147" s="4">
        <v>4490871</v>
      </c>
      <c r="F147" s="5">
        <v>1.5987989857646769E-4</v>
      </c>
    </row>
    <row r="148" spans="1:6">
      <c r="A148" s="1" t="s">
        <v>168</v>
      </c>
      <c r="B148" s="1">
        <v>2011</v>
      </c>
      <c r="C148" s="1">
        <v>656</v>
      </c>
      <c r="D148" s="4" t="s">
        <v>171</v>
      </c>
      <c r="E148" s="4">
        <v>4539451</v>
      </c>
      <c r="F148" s="5">
        <v>1.4451086706299948E-4</v>
      </c>
    </row>
    <row r="149" spans="1:6">
      <c r="A149" s="1" t="s">
        <v>168</v>
      </c>
      <c r="B149" s="1">
        <v>2012</v>
      </c>
      <c r="C149" s="1">
        <v>612</v>
      </c>
      <c r="D149" s="4" t="s">
        <v>172</v>
      </c>
      <c r="E149" s="4">
        <v>4722489</v>
      </c>
      <c r="F149" s="5">
        <v>1.2959267877595904E-4</v>
      </c>
    </row>
    <row r="150" spans="1:6">
      <c r="A150" s="1" t="s">
        <v>168</v>
      </c>
      <c r="B150" s="1">
        <v>2013</v>
      </c>
      <c r="C150" s="1">
        <v>730</v>
      </c>
      <c r="D150" s="4" t="s">
        <v>173</v>
      </c>
      <c r="E150" s="4">
        <v>4472031</v>
      </c>
      <c r="F150" s="5">
        <v>1.6323679330487647E-4</v>
      </c>
    </row>
    <row r="151" spans="1:6">
      <c r="A151" s="1" t="s">
        <v>168</v>
      </c>
      <c r="B151" s="1">
        <v>2014</v>
      </c>
      <c r="C151" s="1">
        <v>665</v>
      </c>
      <c r="D151" s="4" t="s">
        <v>174</v>
      </c>
      <c r="E151" s="4">
        <v>4714491</v>
      </c>
      <c r="F151" s="5">
        <v>1.4105446377986509E-4</v>
      </c>
    </row>
    <row r="152" spans="1:6">
      <c r="A152" s="1" t="s">
        <v>168</v>
      </c>
      <c r="B152" s="1">
        <v>2015</v>
      </c>
      <c r="C152" s="1">
        <v>569</v>
      </c>
      <c r="D152" s="4" t="s">
        <v>175</v>
      </c>
      <c r="E152" s="4">
        <v>4572767</v>
      </c>
      <c r="F152" s="5">
        <v>1.2443231855023445E-4</v>
      </c>
    </row>
    <row r="153" spans="1:6">
      <c r="A153" s="1" t="s">
        <v>168</v>
      </c>
      <c r="B153" s="1">
        <v>2016</v>
      </c>
      <c r="C153" s="1">
        <v>540</v>
      </c>
      <c r="D153" s="4" t="s">
        <v>176</v>
      </c>
      <c r="E153" s="4">
        <v>4956698</v>
      </c>
      <c r="F153" s="5">
        <v>1.089434942374944E-4</v>
      </c>
    </row>
    <row r="154" spans="1:6">
      <c r="A154" s="1" t="s">
        <v>177</v>
      </c>
      <c r="B154" s="1">
        <v>2009</v>
      </c>
      <c r="C154" s="1">
        <v>81</v>
      </c>
      <c r="D154" s="4" t="s">
        <v>178</v>
      </c>
      <c r="E154" s="4">
        <v>1316380</v>
      </c>
      <c r="F154" s="5">
        <v>6.1532384265941447E-5</v>
      </c>
    </row>
    <row r="155" spans="1:6">
      <c r="A155" s="1" t="s">
        <v>177</v>
      </c>
      <c r="B155" s="1">
        <v>2010</v>
      </c>
      <c r="C155" s="1">
        <v>100</v>
      </c>
      <c r="D155" s="4" t="s">
        <v>179</v>
      </c>
      <c r="E155" s="4">
        <v>1327665</v>
      </c>
      <c r="F155" s="5">
        <v>7.5320205021598064E-5</v>
      </c>
    </row>
    <row r="156" spans="1:6">
      <c r="A156" s="1" t="s">
        <v>177</v>
      </c>
      <c r="B156" s="1">
        <v>2011</v>
      </c>
      <c r="C156" s="1">
        <v>148</v>
      </c>
      <c r="D156" s="4" t="s">
        <v>180</v>
      </c>
      <c r="E156" s="4">
        <v>1417781</v>
      </c>
      <c r="F156" s="5">
        <v>1.0438847748700258E-4</v>
      </c>
    </row>
    <row r="157" spans="1:6">
      <c r="A157" s="1" t="s">
        <v>177</v>
      </c>
      <c r="B157" s="1">
        <v>2012</v>
      </c>
      <c r="C157" s="1">
        <v>51</v>
      </c>
      <c r="D157" s="4" t="s">
        <v>181</v>
      </c>
      <c r="E157" s="4">
        <v>1311652</v>
      </c>
      <c r="F157" s="5">
        <v>3.8882264503084662E-5</v>
      </c>
    </row>
    <row r="158" spans="1:6">
      <c r="A158" s="1" t="s">
        <v>177</v>
      </c>
      <c r="B158" s="1">
        <v>2013</v>
      </c>
      <c r="C158" s="1">
        <v>105</v>
      </c>
      <c r="D158" s="4" t="s">
        <v>182</v>
      </c>
      <c r="E158" s="4">
        <v>1328320</v>
      </c>
      <c r="F158" s="5">
        <v>7.904721753794266E-5</v>
      </c>
    </row>
    <row r="159" spans="1:6">
      <c r="A159" s="1" t="s">
        <v>177</v>
      </c>
      <c r="B159" s="1">
        <v>2014</v>
      </c>
      <c r="C159" s="1">
        <v>61</v>
      </c>
      <c r="D159" s="4" t="s">
        <v>183</v>
      </c>
      <c r="E159" s="4">
        <v>1346053</v>
      </c>
      <c r="F159" s="5">
        <v>4.5317680655962284E-5</v>
      </c>
    </row>
    <row r="160" spans="1:6">
      <c r="A160" s="1" t="s">
        <v>177</v>
      </c>
      <c r="B160" s="1">
        <v>2015</v>
      </c>
      <c r="C160" s="1">
        <v>170</v>
      </c>
      <c r="D160" s="4" t="s">
        <v>184</v>
      </c>
      <c r="E160" s="4">
        <v>1333487</v>
      </c>
      <c r="F160" s="5">
        <v>1.2748530731833155E-4</v>
      </c>
    </row>
    <row r="161" spans="1:6">
      <c r="A161" s="1" t="s">
        <v>177</v>
      </c>
      <c r="B161" s="1">
        <v>2016</v>
      </c>
      <c r="C161" s="1">
        <v>80</v>
      </c>
      <c r="D161" s="4" t="s">
        <v>185</v>
      </c>
      <c r="E161" s="4">
        <v>1359301</v>
      </c>
      <c r="F161" s="5">
        <v>5.8853778522932008E-5</v>
      </c>
    </row>
    <row r="162" spans="1:6">
      <c r="A162" s="1" t="s">
        <v>186</v>
      </c>
      <c r="B162" s="1">
        <v>2009</v>
      </c>
      <c r="C162" s="1">
        <v>724</v>
      </c>
      <c r="D162" s="4" t="s">
        <v>187</v>
      </c>
      <c r="E162" s="4">
        <v>5637418</v>
      </c>
      <c r="F162" s="5">
        <v>1.2842758865849578E-4</v>
      </c>
    </row>
    <row r="163" spans="1:6">
      <c r="A163" s="1" t="s">
        <v>186</v>
      </c>
      <c r="B163" s="1">
        <v>2010</v>
      </c>
      <c r="C163" s="1">
        <v>739</v>
      </c>
      <c r="D163" s="4" t="s">
        <v>188</v>
      </c>
      <c r="E163" s="4">
        <v>5729150</v>
      </c>
      <c r="F163" s="5">
        <v>1.2898946615117426E-4</v>
      </c>
    </row>
    <row r="164" spans="1:6">
      <c r="A164" s="1" t="s">
        <v>186</v>
      </c>
      <c r="B164" s="1">
        <v>2011</v>
      </c>
      <c r="C164" s="1">
        <v>877</v>
      </c>
      <c r="D164" s="4" t="s">
        <v>189</v>
      </c>
      <c r="E164" s="4">
        <v>5750718</v>
      </c>
      <c r="F164" s="5">
        <v>1.5250269618506768E-4</v>
      </c>
    </row>
    <row r="165" spans="1:6">
      <c r="A165" s="1" t="s">
        <v>186</v>
      </c>
      <c r="B165" s="1">
        <v>2012</v>
      </c>
      <c r="C165" s="1">
        <v>763</v>
      </c>
      <c r="D165" s="4" t="s">
        <v>190</v>
      </c>
      <c r="E165" s="4">
        <v>5785496</v>
      </c>
      <c r="F165" s="5">
        <v>1.3188151888792249E-4</v>
      </c>
    </row>
    <row r="166" spans="1:6">
      <c r="A166" s="1" t="s">
        <v>186</v>
      </c>
      <c r="B166" s="1">
        <v>2013</v>
      </c>
      <c r="C166" s="1">
        <v>943</v>
      </c>
      <c r="D166" s="4" t="s">
        <v>191</v>
      </c>
      <c r="E166" s="4">
        <v>5801682</v>
      </c>
      <c r="F166" s="5">
        <v>1.6253907056608757E-4</v>
      </c>
    </row>
    <row r="167" spans="1:6">
      <c r="A167" s="1" t="s">
        <v>186</v>
      </c>
      <c r="B167" s="1">
        <v>2014</v>
      </c>
      <c r="C167" s="1">
        <v>855</v>
      </c>
      <c r="D167" s="4" t="s">
        <v>192</v>
      </c>
      <c r="E167" s="4">
        <v>5923810</v>
      </c>
      <c r="F167" s="5">
        <v>1.4433278582533875E-4</v>
      </c>
    </row>
    <row r="168" spans="1:6">
      <c r="A168" s="1" t="s">
        <v>186</v>
      </c>
      <c r="B168" s="1">
        <v>2015</v>
      </c>
      <c r="C168" s="1">
        <v>1018</v>
      </c>
      <c r="D168" s="4" t="s">
        <v>193</v>
      </c>
      <c r="E168" s="4">
        <v>5950118</v>
      </c>
      <c r="F168" s="5">
        <v>1.7108904394837212E-4</v>
      </c>
    </row>
    <row r="169" spans="1:6">
      <c r="A169" s="1" t="s">
        <v>186</v>
      </c>
      <c r="B169" s="1">
        <v>2016</v>
      </c>
      <c r="C169" s="1">
        <v>871</v>
      </c>
      <c r="D169" s="4" t="s">
        <v>194</v>
      </c>
      <c r="E169" s="4">
        <v>5904814</v>
      </c>
      <c r="F169" s="5">
        <v>1.4750676312581565E-4</v>
      </c>
    </row>
    <row r="170" spans="1:6">
      <c r="A170" s="1" t="s">
        <v>195</v>
      </c>
      <c r="B170" s="1">
        <v>2009</v>
      </c>
      <c r="C170" s="1">
        <v>1173</v>
      </c>
      <c r="D170" s="4" t="s">
        <v>196</v>
      </c>
      <c r="E170" s="4">
        <v>6511176</v>
      </c>
      <c r="F170" s="5">
        <v>1.8015178824839015E-4</v>
      </c>
    </row>
    <row r="171" spans="1:6">
      <c r="A171" s="1" t="s">
        <v>195</v>
      </c>
      <c r="B171" s="1">
        <v>2010</v>
      </c>
      <c r="C171" s="1">
        <v>1133</v>
      </c>
      <c r="D171" s="4" t="s">
        <v>197</v>
      </c>
      <c r="E171" s="4">
        <v>6492771</v>
      </c>
      <c r="F171" s="5">
        <v>1.7450176511692774E-4</v>
      </c>
    </row>
    <row r="172" spans="1:6">
      <c r="A172" s="1" t="s">
        <v>195</v>
      </c>
      <c r="B172" s="1">
        <v>2011</v>
      </c>
      <c r="C172" s="1">
        <v>1257</v>
      </c>
      <c r="D172" s="4" t="s">
        <v>198</v>
      </c>
      <c r="E172" s="4">
        <v>6522562</v>
      </c>
      <c r="F172" s="5">
        <v>1.9271568441971116E-4</v>
      </c>
    </row>
    <row r="173" spans="1:6">
      <c r="A173" s="1" t="s">
        <v>195</v>
      </c>
      <c r="B173" s="1">
        <v>2012</v>
      </c>
      <c r="C173" s="1">
        <v>1197</v>
      </c>
      <c r="D173" s="4" t="s">
        <v>199</v>
      </c>
      <c r="E173" s="4">
        <v>6555027</v>
      </c>
      <c r="F173" s="5">
        <v>1.8260794349130827E-4</v>
      </c>
    </row>
    <row r="174" spans="1:6">
      <c r="A174" s="1" t="s">
        <v>195</v>
      </c>
      <c r="B174" s="1">
        <v>2013</v>
      </c>
      <c r="C174" s="1">
        <v>1422</v>
      </c>
      <c r="D174" s="4" t="s">
        <v>200</v>
      </c>
      <c r="E174" s="4">
        <v>6615252</v>
      </c>
      <c r="F174" s="5">
        <v>2.1495779752608063E-4</v>
      </c>
    </row>
    <row r="175" spans="1:6">
      <c r="A175" s="1" t="s">
        <v>195</v>
      </c>
      <c r="B175" s="1">
        <v>2014</v>
      </c>
      <c r="C175" s="1">
        <v>1252</v>
      </c>
      <c r="D175" s="4" t="s">
        <v>201</v>
      </c>
      <c r="E175" s="4">
        <v>6667515</v>
      </c>
      <c r="F175" s="5">
        <v>1.8777610549057633E-4</v>
      </c>
    </row>
    <row r="176" spans="1:6">
      <c r="A176" s="1" t="s">
        <v>195</v>
      </c>
      <c r="B176" s="1">
        <v>2015</v>
      </c>
      <c r="C176" s="1">
        <v>1406</v>
      </c>
      <c r="D176" s="4" t="s">
        <v>202</v>
      </c>
      <c r="E176" s="4">
        <v>6688538</v>
      </c>
      <c r="F176" s="5">
        <v>2.102103628625568E-4</v>
      </c>
    </row>
    <row r="177" spans="1:6">
      <c r="A177" s="1" t="s">
        <v>195</v>
      </c>
      <c r="B177" s="1">
        <v>2016</v>
      </c>
      <c r="C177" s="1">
        <v>1118</v>
      </c>
      <c r="D177" s="4" t="s">
        <v>203</v>
      </c>
      <c r="E177" s="4">
        <v>6741921</v>
      </c>
      <c r="F177" s="5">
        <v>1.6582810744890069E-4</v>
      </c>
    </row>
    <row r="178" spans="1:6">
      <c r="A178" s="1" t="s">
        <v>204</v>
      </c>
      <c r="B178" s="1">
        <v>2009</v>
      </c>
      <c r="C178" s="1">
        <v>1460</v>
      </c>
      <c r="D178" s="4" t="s">
        <v>205</v>
      </c>
      <c r="E178" s="4">
        <v>10032443</v>
      </c>
      <c r="F178" s="5">
        <v>1.4552786395098381E-4</v>
      </c>
    </row>
    <row r="179" spans="1:6">
      <c r="A179" s="1" t="s">
        <v>204</v>
      </c>
      <c r="B179" s="1">
        <v>2010</v>
      </c>
      <c r="C179" s="1">
        <v>1331</v>
      </c>
      <c r="D179" s="4" t="s">
        <v>206</v>
      </c>
      <c r="E179" s="4">
        <v>10036819</v>
      </c>
      <c r="F179" s="5">
        <v>1.3261173684610633E-4</v>
      </c>
    </row>
    <row r="180" spans="1:6">
      <c r="A180" s="1" t="s">
        <v>204</v>
      </c>
      <c r="B180" s="1">
        <v>2011</v>
      </c>
      <c r="C180" s="1">
        <v>1602</v>
      </c>
      <c r="D180" s="4" t="s">
        <v>207</v>
      </c>
      <c r="E180" s="4">
        <v>10032554</v>
      </c>
      <c r="F180" s="5">
        <v>1.5968017715130165E-4</v>
      </c>
    </row>
    <row r="181" spans="1:6">
      <c r="A181" s="1" t="s">
        <v>204</v>
      </c>
      <c r="B181" s="1">
        <v>2012</v>
      </c>
      <c r="C181" s="1">
        <v>1427</v>
      </c>
      <c r="D181" s="4" t="s">
        <v>208</v>
      </c>
      <c r="E181" s="4">
        <v>9964477</v>
      </c>
      <c r="F181" s="5">
        <v>1.4320872033725404E-4</v>
      </c>
    </row>
    <row r="182" spans="1:6">
      <c r="A182" s="1" t="s">
        <v>204</v>
      </c>
      <c r="B182" s="1">
        <v>2013</v>
      </c>
      <c r="C182" s="1">
        <v>1767</v>
      </c>
      <c r="D182" s="4" t="s">
        <v>209</v>
      </c>
      <c r="E182" s="4">
        <v>10002911</v>
      </c>
      <c r="F182" s="5">
        <v>1.7664857759906093E-4</v>
      </c>
    </row>
    <row r="183" spans="1:6">
      <c r="A183" s="1" t="s">
        <v>204</v>
      </c>
      <c r="B183" s="1">
        <v>2014</v>
      </c>
      <c r="C183" s="1">
        <v>1726</v>
      </c>
      <c r="D183" s="4" t="s">
        <v>210</v>
      </c>
      <c r="E183" s="4">
        <v>10210022</v>
      </c>
      <c r="F183" s="5">
        <v>1.6904958676876503E-4</v>
      </c>
    </row>
    <row r="184" spans="1:6">
      <c r="A184" s="1" t="s">
        <v>204</v>
      </c>
      <c r="B184" s="1">
        <v>2015</v>
      </c>
      <c r="C184" s="1">
        <v>1776</v>
      </c>
      <c r="D184" s="4" t="s">
        <v>211</v>
      </c>
      <c r="E184" s="4">
        <v>9833515</v>
      </c>
      <c r="F184" s="5">
        <v>1.806068328568167E-4</v>
      </c>
    </row>
    <row r="185" spans="1:6">
      <c r="A185" s="1" t="s">
        <v>204</v>
      </c>
      <c r="B185" s="1">
        <v>2016</v>
      </c>
      <c r="C185" s="1">
        <v>1514</v>
      </c>
      <c r="D185" s="4" t="s">
        <v>212</v>
      </c>
      <c r="E185" s="4">
        <v>10038266</v>
      </c>
      <c r="F185" s="5">
        <v>1.5082286123918216E-4</v>
      </c>
    </row>
    <row r="186" spans="1:6">
      <c r="A186" s="1" t="s">
        <v>213</v>
      </c>
      <c r="B186" s="1">
        <v>2009</v>
      </c>
      <c r="C186" s="1">
        <v>450</v>
      </c>
      <c r="D186" s="4" t="s">
        <v>214</v>
      </c>
      <c r="E186" s="4">
        <v>5177992</v>
      </c>
      <c r="F186" s="5">
        <v>8.6906275637351307E-5</v>
      </c>
    </row>
    <row r="187" spans="1:6">
      <c r="A187" s="1" t="s">
        <v>213</v>
      </c>
      <c r="B187" s="1">
        <v>2010</v>
      </c>
      <c r="C187" s="1">
        <v>439</v>
      </c>
      <c r="D187" s="4" t="s">
        <v>215</v>
      </c>
      <c r="E187" s="4">
        <v>5293148</v>
      </c>
      <c r="F187" s="5">
        <v>8.293741267011616E-5</v>
      </c>
    </row>
    <row r="188" spans="1:6">
      <c r="A188" s="1" t="s">
        <v>213</v>
      </c>
      <c r="B188" s="1">
        <v>2011</v>
      </c>
      <c r="C188" s="1">
        <v>501</v>
      </c>
      <c r="D188" s="4" t="s">
        <v>216</v>
      </c>
      <c r="E188" s="4">
        <v>5176137</v>
      </c>
      <c r="F188" s="5">
        <v>9.6790328385821316E-5</v>
      </c>
    </row>
    <row r="189" spans="1:6">
      <c r="A189" s="1" t="s">
        <v>213</v>
      </c>
      <c r="B189" s="1">
        <v>2012</v>
      </c>
      <c r="C189" s="1">
        <v>517</v>
      </c>
      <c r="D189" s="4" t="s">
        <v>217</v>
      </c>
      <c r="E189" s="4">
        <v>5110756</v>
      </c>
      <c r="F189" s="5">
        <v>1.0115920227848874E-4</v>
      </c>
    </row>
    <row r="190" spans="1:6">
      <c r="A190" s="1" t="s">
        <v>213</v>
      </c>
      <c r="B190" s="1">
        <v>2013</v>
      </c>
      <c r="C190" s="1">
        <v>567</v>
      </c>
      <c r="D190" s="4" t="s">
        <v>218</v>
      </c>
      <c r="E190" s="4">
        <v>5721822</v>
      </c>
      <c r="F190" s="5">
        <v>9.9094309469955545E-5</v>
      </c>
    </row>
    <row r="191" spans="1:6">
      <c r="A191" s="1" t="s">
        <v>213</v>
      </c>
      <c r="B191" s="1">
        <v>2014</v>
      </c>
      <c r="C191" s="1">
        <v>445</v>
      </c>
      <c r="D191" s="4" t="s">
        <v>219</v>
      </c>
      <c r="E191" s="4">
        <v>5381551</v>
      </c>
      <c r="F191" s="5">
        <v>8.2689915974037972E-5</v>
      </c>
    </row>
    <row r="192" spans="1:6">
      <c r="A192" s="1" t="s">
        <v>213</v>
      </c>
      <c r="B192" s="1">
        <v>2015</v>
      </c>
      <c r="C192" s="1">
        <v>562</v>
      </c>
      <c r="D192" s="4" t="s">
        <v>220</v>
      </c>
      <c r="E192" s="4">
        <v>5453931</v>
      </c>
      <c r="F192" s="5">
        <v>1.0304494134597595E-4</v>
      </c>
    </row>
    <row r="193" spans="1:6">
      <c r="A193" s="1" t="s">
        <v>213</v>
      </c>
      <c r="B193" s="1">
        <v>2016</v>
      </c>
      <c r="C193" s="1">
        <v>344</v>
      </c>
      <c r="D193" s="4" t="s">
        <v>221</v>
      </c>
      <c r="E193" s="4">
        <v>5449528</v>
      </c>
      <c r="F193" s="5">
        <v>6.3124733004399651E-5</v>
      </c>
    </row>
    <row r="194" spans="1:6">
      <c r="A194" s="1" t="s">
        <v>222</v>
      </c>
      <c r="B194" s="1">
        <v>2009</v>
      </c>
      <c r="C194" s="1">
        <v>404</v>
      </c>
      <c r="D194" s="4" t="s">
        <v>223</v>
      </c>
      <c r="E194" s="4">
        <v>2987771</v>
      </c>
      <c r="F194" s="5">
        <v>1.3521785973556876E-4</v>
      </c>
    </row>
    <row r="195" spans="1:6">
      <c r="A195" s="1" t="s">
        <v>222</v>
      </c>
      <c r="B195" s="1">
        <v>2010</v>
      </c>
      <c r="C195" s="1">
        <v>381</v>
      </c>
      <c r="D195" s="4" t="s">
        <v>224</v>
      </c>
      <c r="E195" s="4">
        <v>2830107</v>
      </c>
      <c r="F195" s="5">
        <v>1.3462388524532819E-4</v>
      </c>
    </row>
    <row r="196" spans="1:6">
      <c r="A196" s="1" t="s">
        <v>222</v>
      </c>
      <c r="B196" s="1">
        <v>2011</v>
      </c>
      <c r="C196" s="1">
        <v>439</v>
      </c>
      <c r="D196" s="4" t="s">
        <v>225</v>
      </c>
      <c r="E196" s="4">
        <v>2986137</v>
      </c>
      <c r="F196" s="5">
        <v>1.4701267892263482E-4</v>
      </c>
    </row>
    <row r="197" spans="1:6">
      <c r="A197" s="1" t="s">
        <v>222</v>
      </c>
      <c r="B197" s="1">
        <v>2012</v>
      </c>
      <c r="C197" s="1">
        <v>385</v>
      </c>
      <c r="D197" s="4" t="s">
        <v>226</v>
      </c>
      <c r="E197" s="4">
        <v>2995152</v>
      </c>
      <c r="F197" s="5">
        <v>1.285410556793111E-4</v>
      </c>
    </row>
    <row r="198" spans="1:6">
      <c r="A198" s="1" t="s">
        <v>222</v>
      </c>
      <c r="B198" s="1">
        <v>2013</v>
      </c>
      <c r="C198" s="1">
        <v>598</v>
      </c>
      <c r="D198" s="4" t="s">
        <v>227</v>
      </c>
      <c r="E198" s="4">
        <v>3052906</v>
      </c>
      <c r="F198" s="5">
        <v>1.9587894288261741E-4</v>
      </c>
    </row>
    <row r="199" spans="1:6">
      <c r="A199" s="1" t="s">
        <v>222</v>
      </c>
      <c r="B199" s="1">
        <v>2014</v>
      </c>
      <c r="C199" s="1">
        <v>612</v>
      </c>
      <c r="D199" s="4" t="s">
        <v>228</v>
      </c>
      <c r="E199" s="4">
        <v>3028046</v>
      </c>
      <c r="F199" s="5">
        <v>2.0211053596940073E-4</v>
      </c>
    </row>
    <row r="200" spans="1:6">
      <c r="A200" s="1" t="s">
        <v>222</v>
      </c>
      <c r="B200" s="1">
        <v>2015</v>
      </c>
      <c r="C200" s="1">
        <v>661</v>
      </c>
      <c r="D200" s="4" t="s">
        <v>229</v>
      </c>
      <c r="E200" s="4">
        <v>2933682</v>
      </c>
      <c r="F200" s="5">
        <v>2.2531412743439814E-4</v>
      </c>
    </row>
    <row r="201" spans="1:6">
      <c r="A201" s="1" t="s">
        <v>222</v>
      </c>
      <c r="B201" s="1">
        <v>2016</v>
      </c>
      <c r="C201" s="1">
        <v>656</v>
      </c>
      <c r="D201" s="4" t="s">
        <v>230</v>
      </c>
      <c r="E201" s="4">
        <v>3041972</v>
      </c>
      <c r="F201" s="5">
        <v>2.1564958520328261E-4</v>
      </c>
    </row>
    <row r="202" spans="1:6">
      <c r="A202" s="1" t="s">
        <v>231</v>
      </c>
      <c r="B202" s="1">
        <v>2009</v>
      </c>
      <c r="C202" s="1">
        <v>1178</v>
      </c>
      <c r="D202" s="4" t="s">
        <v>232</v>
      </c>
      <c r="E202" s="4">
        <v>5784755</v>
      </c>
      <c r="F202" s="5">
        <v>2.0363870207121994E-4</v>
      </c>
    </row>
    <row r="203" spans="1:6">
      <c r="A203" s="1" t="s">
        <v>231</v>
      </c>
      <c r="B203" s="1">
        <v>2010</v>
      </c>
      <c r="C203" s="1">
        <v>1008</v>
      </c>
      <c r="D203" s="4" t="s">
        <v>233</v>
      </c>
      <c r="E203" s="4">
        <v>5871467</v>
      </c>
      <c r="F203" s="5">
        <v>1.7167770848409777E-4</v>
      </c>
    </row>
    <row r="204" spans="1:6">
      <c r="A204" s="1" t="s">
        <v>231</v>
      </c>
      <c r="B204" s="1">
        <v>2011</v>
      </c>
      <c r="C204" s="1">
        <v>1040</v>
      </c>
      <c r="D204" s="4" t="s">
        <v>234</v>
      </c>
      <c r="E204" s="4">
        <v>5886675</v>
      </c>
      <c r="F204" s="5">
        <v>1.7667019157673898E-4</v>
      </c>
    </row>
    <row r="205" spans="1:6">
      <c r="A205" s="1" t="s">
        <v>231</v>
      </c>
      <c r="B205" s="1">
        <v>2012</v>
      </c>
      <c r="C205" s="1">
        <v>1088</v>
      </c>
      <c r="D205" s="4" t="s">
        <v>235</v>
      </c>
      <c r="E205" s="4">
        <v>5975295</v>
      </c>
      <c r="F205" s="5">
        <v>1.8208306033425965E-4</v>
      </c>
    </row>
    <row r="206" spans="1:6">
      <c r="A206" s="1" t="s">
        <v>231</v>
      </c>
      <c r="B206" s="1">
        <v>2013</v>
      </c>
      <c r="C206" s="1">
        <v>1185</v>
      </c>
      <c r="D206" s="4" t="s">
        <v>236</v>
      </c>
      <c r="E206" s="4">
        <v>5786199</v>
      </c>
      <c r="F206" s="5">
        <v>2.0479765732219027E-4</v>
      </c>
    </row>
    <row r="207" spans="1:6">
      <c r="A207" s="1" t="s">
        <v>231</v>
      </c>
      <c r="B207" s="1">
        <v>2014</v>
      </c>
      <c r="C207" s="1">
        <v>1177</v>
      </c>
      <c r="D207" s="4" t="s">
        <v>237</v>
      </c>
      <c r="E207" s="4">
        <v>6312109</v>
      </c>
      <c r="F207" s="5">
        <v>1.8646699542102332E-4</v>
      </c>
    </row>
    <row r="208" spans="1:6">
      <c r="A208" s="1" t="s">
        <v>231</v>
      </c>
      <c r="B208" s="1">
        <v>2015</v>
      </c>
      <c r="C208" s="1">
        <v>1185</v>
      </c>
      <c r="D208" s="4" t="s">
        <v>238</v>
      </c>
      <c r="E208" s="4">
        <v>5954813</v>
      </c>
      <c r="F208" s="5">
        <v>1.9899869231829783E-4</v>
      </c>
    </row>
    <row r="209" spans="1:6">
      <c r="A209" s="1" t="s">
        <v>231</v>
      </c>
      <c r="B209" s="1">
        <v>2016</v>
      </c>
      <c r="C209" s="1">
        <v>1027</v>
      </c>
      <c r="D209" s="4" t="s">
        <v>239</v>
      </c>
      <c r="E209" s="4">
        <v>6185934</v>
      </c>
      <c r="F209" s="5">
        <v>1.6602181659228826E-4</v>
      </c>
    </row>
    <row r="210" spans="1:6">
      <c r="A210" s="1" t="s">
        <v>240</v>
      </c>
      <c r="B210" s="1">
        <v>2009</v>
      </c>
      <c r="C210" s="1">
        <v>27</v>
      </c>
      <c r="D210" s="4" t="s">
        <v>241</v>
      </c>
      <c r="E210" s="4">
        <v>938828</v>
      </c>
      <c r="F210" s="5">
        <v>2.875926154737609E-5</v>
      </c>
    </row>
    <row r="211" spans="1:6">
      <c r="A211" s="1" t="s">
        <v>240</v>
      </c>
      <c r="B211" s="1">
        <v>2010</v>
      </c>
      <c r="C211" s="1">
        <v>53</v>
      </c>
      <c r="D211" s="4" t="s">
        <v>242</v>
      </c>
      <c r="E211" s="4">
        <v>937821</v>
      </c>
      <c r="F211" s="5">
        <v>5.6513982945572768E-5</v>
      </c>
    </row>
    <row r="212" spans="1:6">
      <c r="A212" s="1" t="s">
        <v>240</v>
      </c>
      <c r="B212" s="1">
        <v>2011</v>
      </c>
      <c r="C212" s="1">
        <v>27</v>
      </c>
      <c r="D212" s="4" t="s">
        <v>243</v>
      </c>
      <c r="E212" s="4">
        <v>995740</v>
      </c>
      <c r="F212" s="5">
        <v>2.7115512081467051E-5</v>
      </c>
    </row>
    <row r="213" spans="1:6">
      <c r="A213" s="1" t="s">
        <v>240</v>
      </c>
      <c r="B213" s="1">
        <v>2012</v>
      </c>
      <c r="C213" s="1">
        <v>39</v>
      </c>
      <c r="D213" s="4" t="s">
        <v>244</v>
      </c>
      <c r="E213" s="4">
        <v>969860</v>
      </c>
      <c r="F213" s="5">
        <v>4.0211989359288971E-5</v>
      </c>
    </row>
    <row r="214" spans="1:6">
      <c r="A214" s="1" t="s">
        <v>240</v>
      </c>
      <c r="B214" s="1">
        <v>2013</v>
      </c>
      <c r="C214" s="1">
        <v>71</v>
      </c>
      <c r="D214" s="4" t="s">
        <v>245</v>
      </c>
      <c r="E214" s="4">
        <v>963052</v>
      </c>
      <c r="F214" s="5">
        <v>7.3723952600690304E-5</v>
      </c>
    </row>
    <row r="215" spans="1:6">
      <c r="A215" s="1" t="s">
        <v>240</v>
      </c>
      <c r="B215" s="1">
        <v>2014</v>
      </c>
      <c r="C215" s="1">
        <v>46</v>
      </c>
      <c r="D215" s="4" t="s">
        <v>246</v>
      </c>
      <c r="E215" s="4">
        <v>918790</v>
      </c>
      <c r="F215" s="5">
        <v>5.0065847473307286E-5</v>
      </c>
    </row>
    <row r="216" spans="1:6">
      <c r="A216" s="1" t="s">
        <v>240</v>
      </c>
      <c r="B216" s="1">
        <v>2015</v>
      </c>
      <c r="C216" s="1">
        <v>58</v>
      </c>
      <c r="D216" s="4" t="s">
        <v>247</v>
      </c>
      <c r="E216" s="4">
        <v>1066866</v>
      </c>
      <c r="F216" s="5">
        <v>5.4364840570418402E-5</v>
      </c>
    </row>
    <row r="217" spans="1:6">
      <c r="A217" s="1" t="s">
        <v>240</v>
      </c>
      <c r="B217" s="1">
        <v>2016</v>
      </c>
      <c r="C217" s="1">
        <v>11</v>
      </c>
      <c r="D217" s="4" t="s">
        <v>248</v>
      </c>
      <c r="E217" s="4">
        <v>1030376</v>
      </c>
      <c r="F217" s="5">
        <v>1.0675714496455663E-5</v>
      </c>
    </row>
    <row r="218" spans="1:6">
      <c r="A218" s="1" t="s">
        <v>249</v>
      </c>
      <c r="B218" s="1">
        <v>2009</v>
      </c>
      <c r="C218" s="1">
        <v>130</v>
      </c>
      <c r="D218" s="4" t="s">
        <v>250</v>
      </c>
      <c r="E218" s="4">
        <v>1743003</v>
      </c>
      <c r="F218" s="5">
        <v>7.4583922116026196E-5</v>
      </c>
    </row>
    <row r="219" spans="1:6">
      <c r="A219" s="1" t="s">
        <v>249</v>
      </c>
      <c r="B219" s="1">
        <v>2010</v>
      </c>
      <c r="C219" s="1">
        <v>139</v>
      </c>
      <c r="D219" s="4" t="s">
        <v>251</v>
      </c>
      <c r="E219" s="4">
        <v>1790032</v>
      </c>
      <c r="F219" s="5">
        <v>7.7652243088391723E-5</v>
      </c>
    </row>
    <row r="220" spans="1:6">
      <c r="A220" s="1" t="s">
        <v>249</v>
      </c>
      <c r="B220" s="1">
        <v>2011</v>
      </c>
      <c r="C220" s="1">
        <v>189</v>
      </c>
      <c r="D220" s="4" t="s">
        <v>252</v>
      </c>
      <c r="E220" s="4">
        <v>1817825</v>
      </c>
      <c r="F220" s="5">
        <v>1.0397040419182264E-4</v>
      </c>
    </row>
    <row r="221" spans="1:6">
      <c r="A221" s="1" t="s">
        <v>249</v>
      </c>
      <c r="B221" s="1">
        <v>2012</v>
      </c>
      <c r="C221" s="1">
        <v>168</v>
      </c>
      <c r="D221" s="4" t="s">
        <v>253</v>
      </c>
      <c r="E221" s="4">
        <v>1777623</v>
      </c>
      <c r="F221" s="5">
        <v>9.4508228122610927E-5</v>
      </c>
    </row>
    <row r="222" spans="1:6">
      <c r="A222" s="1" t="s">
        <v>249</v>
      </c>
      <c r="B222" s="1">
        <v>2013</v>
      </c>
      <c r="C222" s="1">
        <v>208</v>
      </c>
      <c r="D222" s="4" t="s">
        <v>254</v>
      </c>
      <c r="E222" s="4">
        <v>1810303</v>
      </c>
      <c r="F222" s="5">
        <v>1.1489789278369422E-4</v>
      </c>
    </row>
    <row r="223" spans="1:6">
      <c r="A223" s="1" t="s">
        <v>249</v>
      </c>
      <c r="B223" s="1">
        <v>2014</v>
      </c>
      <c r="C223" s="1">
        <v>187</v>
      </c>
      <c r="D223" s="4" t="s">
        <v>255</v>
      </c>
      <c r="E223" s="4">
        <v>1854867</v>
      </c>
      <c r="F223" s="5">
        <v>1.0081585364341487E-4</v>
      </c>
    </row>
    <row r="224" spans="1:6">
      <c r="A224" s="1" t="s">
        <v>249</v>
      </c>
      <c r="B224" s="1">
        <v>2015</v>
      </c>
      <c r="C224" s="1">
        <v>208</v>
      </c>
      <c r="D224" s="4" t="s">
        <v>256</v>
      </c>
      <c r="E224" s="4">
        <v>1930224</v>
      </c>
      <c r="F224" s="5">
        <v>1.0775951392170028E-4</v>
      </c>
    </row>
    <row r="225" spans="1:6">
      <c r="A225" s="1" t="s">
        <v>249</v>
      </c>
      <c r="B225" s="1">
        <v>2016</v>
      </c>
      <c r="C225" s="1">
        <v>187</v>
      </c>
      <c r="D225" s="4" t="s">
        <v>257</v>
      </c>
      <c r="E225" s="4">
        <v>1939639</v>
      </c>
      <c r="F225" s="5">
        <v>9.6409692731482506E-5</v>
      </c>
    </row>
    <row r="226" spans="1:6">
      <c r="A226" s="1" t="s">
        <v>258</v>
      </c>
      <c r="B226" s="1">
        <v>2009</v>
      </c>
      <c r="C226" s="1">
        <v>281</v>
      </c>
      <c r="D226" s="4" t="s">
        <v>259</v>
      </c>
      <c r="E226" s="4">
        <v>2534911</v>
      </c>
      <c r="F226" s="5">
        <v>1.1085201807874122E-4</v>
      </c>
    </row>
    <row r="227" spans="1:6">
      <c r="A227" s="1" t="s">
        <v>258</v>
      </c>
      <c r="B227" s="1">
        <v>2010</v>
      </c>
      <c r="C227" s="1">
        <v>233</v>
      </c>
      <c r="D227" s="4" t="s">
        <v>260</v>
      </c>
      <c r="E227" s="4">
        <v>2633331</v>
      </c>
      <c r="F227" s="5">
        <v>8.8481091059194604E-5</v>
      </c>
    </row>
    <row r="228" spans="1:6">
      <c r="A228" s="1" t="s">
        <v>258</v>
      </c>
      <c r="B228" s="1">
        <v>2011</v>
      </c>
      <c r="C228" s="1">
        <v>240</v>
      </c>
      <c r="D228" s="4" t="s">
        <v>261</v>
      </c>
      <c r="E228" s="4">
        <v>2671338</v>
      </c>
      <c r="F228" s="5">
        <v>8.9842618193579401E-5</v>
      </c>
    </row>
    <row r="229" spans="1:6">
      <c r="A229" s="1" t="s">
        <v>258</v>
      </c>
      <c r="B229" s="1">
        <v>2012</v>
      </c>
      <c r="C229" s="1">
        <v>314</v>
      </c>
      <c r="D229" s="4" t="s">
        <v>262</v>
      </c>
      <c r="E229" s="4">
        <v>2685965</v>
      </c>
      <c r="F229" s="5">
        <v>1.169039805060751E-4</v>
      </c>
    </row>
    <row r="230" spans="1:6">
      <c r="A230" s="1" t="s">
        <v>258</v>
      </c>
      <c r="B230" s="1">
        <v>2013</v>
      </c>
      <c r="C230" s="1">
        <v>276</v>
      </c>
      <c r="D230" s="4" t="s">
        <v>263</v>
      </c>
      <c r="E230" s="4">
        <v>2727982</v>
      </c>
      <c r="F230" s="5">
        <v>1.0117368809618245E-4</v>
      </c>
    </row>
    <row r="231" spans="1:6">
      <c r="A231" s="1" t="s">
        <v>258</v>
      </c>
      <c r="B231" s="1">
        <v>2014</v>
      </c>
      <c r="C231" s="1">
        <v>520</v>
      </c>
      <c r="D231" s="4" t="s">
        <v>264</v>
      </c>
      <c r="E231" s="4">
        <v>2767742</v>
      </c>
      <c r="F231" s="5">
        <v>1.8787878349932905E-4</v>
      </c>
    </row>
    <row r="232" spans="1:6">
      <c r="A232" s="1" t="s">
        <v>258</v>
      </c>
      <c r="B232" s="1">
        <v>2015</v>
      </c>
      <c r="C232" s="1">
        <v>454</v>
      </c>
      <c r="D232" s="4" t="s">
        <v>265</v>
      </c>
      <c r="E232" s="4">
        <v>2892387</v>
      </c>
      <c r="F232" s="5">
        <v>1.5696378112610795E-4</v>
      </c>
    </row>
    <row r="233" spans="1:6">
      <c r="A233" s="1" t="s">
        <v>258</v>
      </c>
      <c r="B233" s="1">
        <v>2016</v>
      </c>
      <c r="C233" s="1">
        <v>374</v>
      </c>
      <c r="D233" s="4" t="s">
        <v>266</v>
      </c>
      <c r="E233" s="4">
        <v>2941149</v>
      </c>
      <c r="F233" s="5">
        <v>1.2716118768549297E-4</v>
      </c>
    </row>
    <row r="234" spans="1:6">
      <c r="A234" s="1" t="s">
        <v>267</v>
      </c>
      <c r="B234" s="1">
        <v>2009</v>
      </c>
      <c r="C234" s="1">
        <v>49</v>
      </c>
      <c r="D234" s="4" t="s">
        <v>268</v>
      </c>
      <c r="E234" s="4">
        <v>1315419</v>
      </c>
      <c r="F234" s="5">
        <v>3.7250488247470961E-5</v>
      </c>
    </row>
    <row r="235" spans="1:6">
      <c r="A235" s="1" t="s">
        <v>267</v>
      </c>
      <c r="B235" s="1">
        <v>2010</v>
      </c>
      <c r="C235" s="1">
        <v>63</v>
      </c>
      <c r="D235" s="4" t="s">
        <v>269</v>
      </c>
      <c r="E235" s="4">
        <v>1313939</v>
      </c>
      <c r="F235" s="5">
        <v>4.7947431349552756E-5</v>
      </c>
    </row>
    <row r="236" spans="1:6">
      <c r="A236" s="1" t="s">
        <v>267</v>
      </c>
      <c r="B236" s="1">
        <v>2011</v>
      </c>
      <c r="C236" s="1">
        <v>113</v>
      </c>
      <c r="D236" s="4" t="s">
        <v>270</v>
      </c>
      <c r="E236" s="4">
        <v>1332919</v>
      </c>
      <c r="F236" s="5">
        <v>8.4776344248975371E-5</v>
      </c>
    </row>
    <row r="237" spans="1:6">
      <c r="A237" s="1" t="s">
        <v>267</v>
      </c>
      <c r="B237" s="1">
        <v>2012</v>
      </c>
      <c r="C237" s="1">
        <v>98</v>
      </c>
      <c r="D237" s="4" t="s">
        <v>271</v>
      </c>
      <c r="E237" s="4">
        <v>1317474</v>
      </c>
      <c r="F237" s="5">
        <v>7.4384769642512873E-5</v>
      </c>
    </row>
    <row r="238" spans="1:6">
      <c r="A238" s="1" t="s">
        <v>267</v>
      </c>
      <c r="B238" s="1">
        <v>2013</v>
      </c>
      <c r="C238" s="1">
        <v>80</v>
      </c>
      <c r="D238" s="4" t="s">
        <v>272</v>
      </c>
      <c r="E238" s="4">
        <v>1319171</v>
      </c>
      <c r="F238" s="5">
        <v>6.0644146968057967E-5</v>
      </c>
    </row>
    <row r="239" spans="1:6">
      <c r="A239" s="1" t="s">
        <v>267</v>
      </c>
      <c r="B239" s="1">
        <v>2014</v>
      </c>
      <c r="C239" s="1">
        <v>59</v>
      </c>
      <c r="D239" s="4" t="s">
        <v>273</v>
      </c>
      <c r="E239" s="4">
        <v>1277778</v>
      </c>
      <c r="F239" s="5">
        <v>4.6173905013233909E-5</v>
      </c>
    </row>
    <row r="240" spans="1:6">
      <c r="A240" s="1" t="s">
        <v>267</v>
      </c>
      <c r="B240" s="1">
        <v>2015</v>
      </c>
      <c r="C240" s="1">
        <v>140</v>
      </c>
      <c r="D240" s="4" t="s">
        <v>274</v>
      </c>
      <c r="E240" s="4">
        <v>1244818</v>
      </c>
      <c r="F240" s="5">
        <v>1.1246624004472943E-4</v>
      </c>
    </row>
    <row r="241" spans="1:6">
      <c r="A241" s="1" t="s">
        <v>267</v>
      </c>
      <c r="B241" s="1">
        <v>2016</v>
      </c>
      <c r="C241" s="1">
        <v>45</v>
      </c>
      <c r="D241" s="4" t="s">
        <v>275</v>
      </c>
      <c r="E241" s="4">
        <v>1327503</v>
      </c>
      <c r="F241" s="5">
        <v>3.3898228478579711E-5</v>
      </c>
    </row>
    <row r="242" spans="1:6">
      <c r="A242" s="1" t="s">
        <v>276</v>
      </c>
      <c r="B242" s="1">
        <v>2009</v>
      </c>
      <c r="C242" s="1">
        <v>1143</v>
      </c>
      <c r="D242" s="4" t="s">
        <v>277</v>
      </c>
      <c r="E242" s="4">
        <v>8650548</v>
      </c>
      <c r="F242" s="5">
        <v>1.3213035752185874E-4</v>
      </c>
    </row>
    <row r="243" spans="1:6">
      <c r="A243" s="1" t="s">
        <v>276</v>
      </c>
      <c r="B243" s="1">
        <v>2010</v>
      </c>
      <c r="C243" s="1">
        <v>955</v>
      </c>
      <c r="D243" s="4" t="s">
        <v>278</v>
      </c>
      <c r="E243" s="4">
        <v>8721577</v>
      </c>
      <c r="F243" s="5">
        <v>1.0949854596250196E-4</v>
      </c>
    </row>
    <row r="244" spans="1:6">
      <c r="A244" s="1" t="s">
        <v>276</v>
      </c>
      <c r="B244" s="1">
        <v>2011</v>
      </c>
      <c r="C244" s="1">
        <v>1047</v>
      </c>
      <c r="D244" s="4" t="s">
        <v>279</v>
      </c>
      <c r="E244" s="4">
        <v>8753064</v>
      </c>
      <c r="F244" s="5">
        <v>1.1961525701171612E-4</v>
      </c>
    </row>
    <row r="245" spans="1:6">
      <c r="A245" s="1" t="s">
        <v>276</v>
      </c>
      <c r="B245" s="1">
        <v>2012</v>
      </c>
      <c r="C245" s="1">
        <v>975</v>
      </c>
      <c r="D245" s="4" t="s">
        <v>280</v>
      </c>
      <c r="E245" s="4">
        <v>8793888</v>
      </c>
      <c r="F245" s="5">
        <v>1.108724605089353E-4</v>
      </c>
    </row>
    <row r="246" spans="1:6">
      <c r="A246" s="1" t="s">
        <v>276</v>
      </c>
      <c r="B246" s="1">
        <v>2013</v>
      </c>
      <c r="C246" s="1">
        <v>1209</v>
      </c>
      <c r="D246" s="4" t="s">
        <v>281</v>
      </c>
      <c r="E246" s="4">
        <v>8832406</v>
      </c>
      <c r="F246" s="5">
        <v>1.3688229458654866E-4</v>
      </c>
    </row>
    <row r="247" spans="1:6">
      <c r="A247" s="1" t="s">
        <v>276</v>
      </c>
      <c r="B247" s="1">
        <v>2014</v>
      </c>
      <c r="C247" s="1">
        <v>1069</v>
      </c>
      <c r="D247" s="4" t="s">
        <v>282</v>
      </c>
      <c r="E247" s="4">
        <v>8874374</v>
      </c>
      <c r="F247" s="5">
        <v>1.2045920084053253E-4</v>
      </c>
    </row>
    <row r="248" spans="1:6">
      <c r="A248" s="1" t="s">
        <v>276</v>
      </c>
      <c r="B248" s="1">
        <v>2015</v>
      </c>
      <c r="C248" s="1">
        <v>1278</v>
      </c>
      <c r="D248" s="4" t="s">
        <v>283</v>
      </c>
      <c r="E248" s="4">
        <v>8904413</v>
      </c>
      <c r="F248" s="5">
        <v>1.4352434012213943E-4</v>
      </c>
    </row>
    <row r="249" spans="1:6">
      <c r="A249" s="1" t="s">
        <v>276</v>
      </c>
      <c r="B249" s="1">
        <v>2016</v>
      </c>
      <c r="C249" s="1">
        <v>1084</v>
      </c>
      <c r="D249" s="4" t="s">
        <v>284</v>
      </c>
      <c r="E249" s="4">
        <v>8850952</v>
      </c>
      <c r="F249" s="5">
        <v>1.2247270124162915E-4</v>
      </c>
    </row>
    <row r="250" spans="1:6">
      <c r="A250" s="1" t="s">
        <v>285</v>
      </c>
      <c r="B250" s="1">
        <v>2009</v>
      </c>
      <c r="C250" s="1">
        <v>112</v>
      </c>
      <c r="D250" s="4" t="s">
        <v>286</v>
      </c>
      <c r="E250" s="4">
        <v>1964860</v>
      </c>
      <c r="F250" s="5">
        <v>5.7001516647496512E-5</v>
      </c>
    </row>
    <row r="251" spans="1:6">
      <c r="A251" s="1" t="s">
        <v>285</v>
      </c>
      <c r="B251" s="1">
        <v>2010</v>
      </c>
      <c r="C251" s="1">
        <v>132</v>
      </c>
      <c r="D251" s="4" t="s">
        <v>287</v>
      </c>
      <c r="E251" s="4">
        <v>2107569</v>
      </c>
      <c r="F251" s="5">
        <v>6.2631401391840546E-5</v>
      </c>
    </row>
    <row r="252" spans="1:6">
      <c r="A252" s="1" t="s">
        <v>285</v>
      </c>
      <c r="B252" s="1">
        <v>2011</v>
      </c>
      <c r="C252" s="1">
        <v>162</v>
      </c>
      <c r="D252" s="4" t="s">
        <v>288</v>
      </c>
      <c r="E252" s="4">
        <v>2050625</v>
      </c>
      <c r="F252" s="5">
        <v>7.9000304785126481E-5</v>
      </c>
    </row>
    <row r="253" spans="1:6">
      <c r="A253" s="1" t="s">
        <v>285</v>
      </c>
      <c r="B253" s="1">
        <v>2012</v>
      </c>
      <c r="C253" s="1">
        <v>103</v>
      </c>
      <c r="D253" s="4" t="s">
        <v>289</v>
      </c>
      <c r="E253" s="4">
        <v>2016248</v>
      </c>
      <c r="F253" s="5">
        <v>5.1084985577171064E-5</v>
      </c>
    </row>
    <row r="254" spans="1:6">
      <c r="A254" s="1" t="s">
        <v>285</v>
      </c>
      <c r="B254" s="1">
        <v>2013</v>
      </c>
      <c r="C254" s="1">
        <v>166</v>
      </c>
      <c r="D254" s="4" t="s">
        <v>290</v>
      </c>
      <c r="E254" s="4">
        <v>2067785</v>
      </c>
      <c r="F254" s="5">
        <v>8.0279139272216408E-5</v>
      </c>
    </row>
    <row r="255" spans="1:6">
      <c r="A255" s="1" t="s">
        <v>285</v>
      </c>
      <c r="B255" s="1">
        <v>2014</v>
      </c>
      <c r="C255" s="1">
        <v>129</v>
      </c>
      <c r="D255" s="4" t="s">
        <v>291</v>
      </c>
      <c r="E255" s="4">
        <v>2008756</v>
      </c>
      <c r="F255" s="5">
        <v>6.4218849875246175E-5</v>
      </c>
    </row>
    <row r="256" spans="1:6">
      <c r="A256" s="1" t="s">
        <v>285</v>
      </c>
      <c r="B256" s="1">
        <v>2015</v>
      </c>
      <c r="C256" s="1">
        <v>115</v>
      </c>
      <c r="D256" s="4" t="s">
        <v>292</v>
      </c>
      <c r="E256" s="4">
        <v>1939978</v>
      </c>
      <c r="F256" s="5">
        <v>5.92790227518044E-5</v>
      </c>
    </row>
    <row r="257" spans="1:6">
      <c r="A257" s="1" t="s">
        <v>285</v>
      </c>
      <c r="B257" s="1">
        <v>2016</v>
      </c>
      <c r="C257" s="1">
        <v>119</v>
      </c>
      <c r="D257" s="4" t="s">
        <v>293</v>
      </c>
      <c r="E257" s="4">
        <v>2063342</v>
      </c>
      <c r="F257" s="5">
        <v>5.7673424958150417E-5</v>
      </c>
    </row>
    <row r="258" spans="1:6">
      <c r="A258" s="1" t="s">
        <v>294</v>
      </c>
      <c r="B258" s="1">
        <v>2009</v>
      </c>
      <c r="C258" s="1">
        <v>4389</v>
      </c>
      <c r="D258" s="4" t="s">
        <v>295</v>
      </c>
      <c r="E258" s="4">
        <v>19423896</v>
      </c>
      <c r="F258" s="5">
        <v>2.2595878808247326E-4</v>
      </c>
    </row>
    <row r="259" spans="1:6">
      <c r="A259" s="1" t="s">
        <v>294</v>
      </c>
      <c r="B259" s="1">
        <v>2010</v>
      </c>
      <c r="C259" s="1">
        <v>4522</v>
      </c>
      <c r="D259" s="4" t="s">
        <v>296</v>
      </c>
      <c r="E259" s="4">
        <v>19229752</v>
      </c>
      <c r="F259" s="5">
        <v>2.3515643883498862E-4</v>
      </c>
    </row>
    <row r="260" spans="1:6">
      <c r="A260" s="1" t="s">
        <v>294</v>
      </c>
      <c r="B260" s="1">
        <v>2011</v>
      </c>
      <c r="C260" s="1">
        <v>4787</v>
      </c>
      <c r="D260" s="4" t="s">
        <v>297</v>
      </c>
      <c r="E260" s="4">
        <v>19359449</v>
      </c>
      <c r="F260" s="5">
        <v>2.4726943416623068E-4</v>
      </c>
    </row>
    <row r="261" spans="1:6">
      <c r="A261" s="1" t="s">
        <v>294</v>
      </c>
      <c r="B261" s="1">
        <v>2012</v>
      </c>
      <c r="C261" s="1">
        <v>4292</v>
      </c>
      <c r="D261" s="4" t="s">
        <v>298</v>
      </c>
      <c r="E261" s="4">
        <v>19312883</v>
      </c>
      <c r="F261" s="5">
        <v>2.2223507489793211E-4</v>
      </c>
    </row>
    <row r="262" spans="1:6">
      <c r="A262" s="1" t="s">
        <v>294</v>
      </c>
      <c r="B262" s="1">
        <v>2013</v>
      </c>
      <c r="C262" s="1">
        <v>4767</v>
      </c>
      <c r="D262" s="4" t="s">
        <v>299</v>
      </c>
      <c r="E262" s="4">
        <v>19490635</v>
      </c>
      <c r="F262" s="5">
        <v>2.445789990936673E-4</v>
      </c>
    </row>
    <row r="263" spans="1:6">
      <c r="A263" s="1" t="s">
        <v>294</v>
      </c>
      <c r="B263" s="1">
        <v>2014</v>
      </c>
      <c r="C263" s="1">
        <v>4601</v>
      </c>
      <c r="D263" s="4" t="s">
        <v>300</v>
      </c>
      <c r="E263" s="4">
        <v>19644020</v>
      </c>
      <c r="F263" s="5">
        <v>2.3421886151612551E-4</v>
      </c>
    </row>
    <row r="264" spans="1:6">
      <c r="A264" s="1" t="s">
        <v>294</v>
      </c>
      <c r="B264" s="1">
        <v>2015</v>
      </c>
      <c r="C264" s="1">
        <v>4753</v>
      </c>
      <c r="D264" s="4" t="s">
        <v>301</v>
      </c>
      <c r="E264" s="4">
        <v>19601171</v>
      </c>
      <c r="F264" s="5">
        <v>2.4248551272778549E-4</v>
      </c>
    </row>
    <row r="265" spans="1:6">
      <c r="A265" s="1" t="s">
        <v>294</v>
      </c>
      <c r="B265" s="1">
        <v>2016</v>
      </c>
      <c r="C265" s="1">
        <v>4372</v>
      </c>
      <c r="D265" s="4" t="s">
        <v>302</v>
      </c>
      <c r="E265" s="4">
        <v>19781344</v>
      </c>
      <c r="F265" s="5">
        <v>2.2101632730313976E-4</v>
      </c>
    </row>
    <row r="266" spans="1:6">
      <c r="A266" s="1" t="s">
        <v>303</v>
      </c>
      <c r="B266" s="1">
        <v>2009</v>
      </c>
      <c r="C266" s="1">
        <v>1567</v>
      </c>
      <c r="D266" s="4" t="s">
        <v>304</v>
      </c>
      <c r="E266" s="4">
        <v>8983850</v>
      </c>
      <c r="F266" s="5">
        <v>1.7442410547816359E-4</v>
      </c>
    </row>
    <row r="267" spans="1:6">
      <c r="A267" s="1" t="s">
        <v>303</v>
      </c>
      <c r="B267" s="1">
        <v>2010</v>
      </c>
      <c r="C267" s="1">
        <v>1572</v>
      </c>
      <c r="D267" s="4" t="s">
        <v>305</v>
      </c>
      <c r="E267" s="4">
        <v>9256890</v>
      </c>
      <c r="F267" s="5">
        <v>1.6981945340173644E-4</v>
      </c>
    </row>
    <row r="268" spans="1:6">
      <c r="A268" s="1" t="s">
        <v>303</v>
      </c>
      <c r="B268" s="1">
        <v>2011</v>
      </c>
      <c r="C268" s="1">
        <v>1432</v>
      </c>
      <c r="D268" s="4" t="s">
        <v>306</v>
      </c>
      <c r="E268" s="4">
        <v>9326745</v>
      </c>
      <c r="F268" s="5">
        <v>1.5353695206634255E-4</v>
      </c>
    </row>
    <row r="269" spans="1:6">
      <c r="A269" s="1" t="s">
        <v>303</v>
      </c>
      <c r="B269" s="1">
        <v>2012</v>
      </c>
      <c r="C269" s="1">
        <v>1787</v>
      </c>
      <c r="D269" s="4" t="s">
        <v>307</v>
      </c>
      <c r="E269" s="4">
        <v>9473471</v>
      </c>
      <c r="F269" s="5">
        <v>1.8863202304625199E-4</v>
      </c>
    </row>
    <row r="270" spans="1:6">
      <c r="A270" s="1" t="s">
        <v>303</v>
      </c>
      <c r="B270" s="1">
        <v>2013</v>
      </c>
      <c r="C270" s="1">
        <v>1793</v>
      </c>
      <c r="D270" s="4" t="s">
        <v>308</v>
      </c>
      <c r="E270" s="4">
        <v>9872176</v>
      </c>
      <c r="F270" s="5">
        <v>1.8162155942114485E-4</v>
      </c>
    </row>
    <row r="271" spans="1:6">
      <c r="A271" s="1" t="s">
        <v>303</v>
      </c>
      <c r="B271" s="1">
        <v>2014</v>
      </c>
      <c r="C271" s="1">
        <v>1744</v>
      </c>
      <c r="D271" s="4" t="s">
        <v>309</v>
      </c>
      <c r="E271" s="4">
        <v>10135660</v>
      </c>
      <c r="F271" s="5">
        <v>1.7206575595471828E-4</v>
      </c>
    </row>
    <row r="272" spans="1:6">
      <c r="A272" s="1" t="s">
        <v>303</v>
      </c>
      <c r="B272" s="1">
        <v>2015</v>
      </c>
      <c r="C272" s="1">
        <v>1986</v>
      </c>
      <c r="D272" s="4" t="s">
        <v>310</v>
      </c>
      <c r="E272" s="4">
        <v>9600041</v>
      </c>
      <c r="F272" s="5">
        <v>2.0687411647512754E-4</v>
      </c>
    </row>
    <row r="273" spans="1:6">
      <c r="A273" s="1" t="s">
        <v>303</v>
      </c>
      <c r="B273" s="1">
        <v>2016</v>
      </c>
      <c r="C273" s="1">
        <v>1783</v>
      </c>
      <c r="D273" s="4" t="s">
        <v>311</v>
      </c>
      <c r="E273" s="4">
        <v>9790104</v>
      </c>
      <c r="F273" s="5">
        <v>1.8212268225138365E-4</v>
      </c>
    </row>
    <row r="274" spans="1:6">
      <c r="A274" s="1" t="s">
        <v>312</v>
      </c>
      <c r="B274" s="1">
        <v>2009</v>
      </c>
      <c r="C274" s="1">
        <v>21</v>
      </c>
      <c r="D274" s="4" t="s">
        <v>313</v>
      </c>
      <c r="E274" s="4">
        <v>623992</v>
      </c>
      <c r="F274" s="5">
        <v>3.3654277618943832E-5</v>
      </c>
    </row>
    <row r="275" spans="1:6">
      <c r="A275" s="1" t="s">
        <v>312</v>
      </c>
      <c r="B275" s="1">
        <v>2010</v>
      </c>
      <c r="C275" s="1">
        <v>10</v>
      </c>
      <c r="D275" s="4" t="s">
        <v>314</v>
      </c>
      <c r="E275" s="4">
        <v>570866</v>
      </c>
      <c r="F275" s="5">
        <v>1.7517245728419629E-5</v>
      </c>
    </row>
    <row r="276" spans="1:6">
      <c r="A276" s="1" t="s">
        <v>312</v>
      </c>
      <c r="B276" s="1">
        <v>2011</v>
      </c>
      <c r="C276" s="1">
        <v>0</v>
      </c>
      <c r="D276" s="4" t="s">
        <v>315</v>
      </c>
      <c r="E276" s="4">
        <v>820058</v>
      </c>
      <c r="F276" s="5">
        <v>0</v>
      </c>
    </row>
    <row r="277" spans="1:6">
      <c r="A277" s="1" t="s">
        <v>312</v>
      </c>
      <c r="B277" s="1">
        <v>2012</v>
      </c>
      <c r="C277" s="1">
        <v>21</v>
      </c>
      <c r="D277" s="4" t="s">
        <v>316</v>
      </c>
      <c r="E277" s="4">
        <v>706929</v>
      </c>
      <c r="F277" s="5">
        <v>2.9705953497451653E-5</v>
      </c>
    </row>
    <row r="278" spans="1:6">
      <c r="A278" s="1" t="s">
        <v>312</v>
      </c>
      <c r="B278" s="1">
        <v>2013</v>
      </c>
      <c r="C278" s="1">
        <v>25</v>
      </c>
      <c r="D278" s="4" t="s">
        <v>317</v>
      </c>
      <c r="E278" s="4">
        <v>737626</v>
      </c>
      <c r="F278" s="5">
        <v>3.3892514634787822E-5</v>
      </c>
    </row>
    <row r="279" spans="1:6">
      <c r="A279" s="1" t="s">
        <v>312</v>
      </c>
      <c r="B279" s="1">
        <v>2014</v>
      </c>
      <c r="C279" s="1">
        <v>64</v>
      </c>
      <c r="D279" s="4" t="s">
        <v>318</v>
      </c>
      <c r="E279" s="4">
        <v>708911</v>
      </c>
      <c r="F279" s="5">
        <v>9.0279315739211273E-5</v>
      </c>
    </row>
    <row r="280" spans="1:6">
      <c r="A280" s="1" t="s">
        <v>312</v>
      </c>
      <c r="B280" s="1">
        <v>2015</v>
      </c>
      <c r="C280" s="1">
        <v>38</v>
      </c>
      <c r="D280" s="4" t="s">
        <v>319</v>
      </c>
      <c r="E280" s="4">
        <v>732713</v>
      </c>
      <c r="F280" s="5">
        <v>5.1862052399779996E-5</v>
      </c>
    </row>
    <row r="281" spans="1:6">
      <c r="A281" s="1" t="s">
        <v>312</v>
      </c>
      <c r="B281" s="1">
        <v>2016</v>
      </c>
      <c r="C281" s="1">
        <v>0</v>
      </c>
      <c r="D281" s="4" t="s">
        <v>320</v>
      </c>
      <c r="E281" s="4">
        <v>624247</v>
      </c>
      <c r="F281" s="5">
        <v>0</v>
      </c>
    </row>
    <row r="282" spans="1:6">
      <c r="A282" s="1" t="s">
        <v>321</v>
      </c>
      <c r="B282" s="1">
        <v>2009</v>
      </c>
      <c r="C282" s="1">
        <v>1900</v>
      </c>
      <c r="D282" s="4" t="s">
        <v>322</v>
      </c>
      <c r="E282" s="4">
        <v>11448785</v>
      </c>
      <c r="F282" s="5">
        <v>1.6595647485737571E-4</v>
      </c>
    </row>
    <row r="283" spans="1:6">
      <c r="A283" s="1" t="s">
        <v>321</v>
      </c>
      <c r="B283" s="1">
        <v>2010</v>
      </c>
      <c r="C283" s="1">
        <v>1829</v>
      </c>
      <c r="D283" s="4" t="s">
        <v>323</v>
      </c>
      <c r="E283" s="4">
        <v>11537145</v>
      </c>
      <c r="F283" s="5">
        <v>1.5853142176855712E-4</v>
      </c>
    </row>
    <row r="284" spans="1:6">
      <c r="A284" s="1" t="s">
        <v>321</v>
      </c>
      <c r="B284" s="1">
        <v>2011</v>
      </c>
      <c r="C284" s="1">
        <v>2151</v>
      </c>
      <c r="D284" s="4" t="s">
        <v>324</v>
      </c>
      <c r="E284" s="4">
        <v>11514097</v>
      </c>
      <c r="F284" s="5">
        <v>1.8681447620251941E-4</v>
      </c>
    </row>
    <row r="285" spans="1:6">
      <c r="A285" s="1" t="s">
        <v>321</v>
      </c>
      <c r="B285" s="1">
        <v>2012</v>
      </c>
      <c r="C285" s="1">
        <v>2081</v>
      </c>
      <c r="D285" s="4" t="s">
        <v>325</v>
      </c>
      <c r="E285" s="4">
        <v>11528293</v>
      </c>
      <c r="F285" s="5">
        <v>1.805124141102243E-4</v>
      </c>
    </row>
    <row r="286" spans="1:6">
      <c r="A286" s="1" t="s">
        <v>321</v>
      </c>
      <c r="B286" s="1">
        <v>2013</v>
      </c>
      <c r="C286" s="1">
        <v>2269</v>
      </c>
      <c r="D286" s="4" t="s">
        <v>326</v>
      </c>
      <c r="E286" s="4">
        <v>11209614</v>
      </c>
      <c r="F286" s="5">
        <v>2.0241553366601205E-4</v>
      </c>
    </row>
    <row r="287" spans="1:6">
      <c r="A287" s="1" t="s">
        <v>321</v>
      </c>
      <c r="B287" s="1">
        <v>2014</v>
      </c>
      <c r="C287" s="1">
        <v>2322</v>
      </c>
      <c r="D287" s="4" t="s">
        <v>327</v>
      </c>
      <c r="E287" s="4">
        <v>11680583</v>
      </c>
      <c r="F287" s="5">
        <v>1.9879144731046387E-4</v>
      </c>
    </row>
    <row r="288" spans="1:6">
      <c r="A288" s="1" t="s">
        <v>321</v>
      </c>
      <c r="B288" s="1">
        <v>2015</v>
      </c>
      <c r="C288" s="1">
        <v>2341</v>
      </c>
      <c r="D288" s="4" t="s">
        <v>328</v>
      </c>
      <c r="E288" s="4">
        <v>11141119</v>
      </c>
      <c r="F288" s="5">
        <v>2.1012252000898653E-4</v>
      </c>
    </row>
    <row r="289" spans="1:6">
      <c r="A289" s="1" t="s">
        <v>321</v>
      </c>
      <c r="B289" s="1">
        <v>2016</v>
      </c>
      <c r="C289" s="1">
        <v>2020</v>
      </c>
      <c r="D289" s="4" t="s">
        <v>329</v>
      </c>
      <c r="E289" s="4">
        <v>11653442</v>
      </c>
      <c r="F289" s="5">
        <v>1.7333934471892509E-4</v>
      </c>
    </row>
    <row r="290" spans="1:6">
      <c r="A290" s="1" t="s">
        <v>330</v>
      </c>
      <c r="B290" s="1">
        <v>2009</v>
      </c>
      <c r="C290" s="1">
        <v>669</v>
      </c>
      <c r="D290" s="4" t="s">
        <v>331</v>
      </c>
      <c r="E290" s="4">
        <v>3607249</v>
      </c>
      <c r="F290" s="5">
        <v>1.8545988923969486E-4</v>
      </c>
    </row>
    <row r="291" spans="1:6">
      <c r="A291" s="1" t="s">
        <v>330</v>
      </c>
      <c r="B291" s="1">
        <v>2010</v>
      </c>
      <c r="C291" s="1">
        <v>589</v>
      </c>
      <c r="D291" s="4" t="s">
        <v>332</v>
      </c>
      <c r="E291" s="4">
        <v>3629062</v>
      </c>
      <c r="F291" s="5">
        <v>1.6230089207624449E-4</v>
      </c>
    </row>
    <row r="292" spans="1:6">
      <c r="A292" s="1" t="s">
        <v>330</v>
      </c>
      <c r="B292" s="1">
        <v>2011</v>
      </c>
      <c r="C292" s="1">
        <v>696</v>
      </c>
      <c r="D292" s="4" t="s">
        <v>333</v>
      </c>
      <c r="E292" s="4">
        <v>3556899</v>
      </c>
      <c r="F292" s="5">
        <v>1.9567606502180691E-4</v>
      </c>
    </row>
    <row r="293" spans="1:6">
      <c r="A293" s="1" t="s">
        <v>330</v>
      </c>
      <c r="B293" s="1">
        <v>2012</v>
      </c>
      <c r="C293" s="1">
        <v>407</v>
      </c>
      <c r="D293" s="4" t="s">
        <v>334</v>
      </c>
      <c r="E293" s="4">
        <v>3764791</v>
      </c>
      <c r="F293" s="5">
        <v>1.0810693076986213E-4</v>
      </c>
    </row>
    <row r="294" spans="1:6">
      <c r="A294" s="1" t="s">
        <v>330</v>
      </c>
      <c r="B294" s="1">
        <v>2013</v>
      </c>
      <c r="C294" s="1">
        <v>553</v>
      </c>
      <c r="D294" s="4" t="s">
        <v>335</v>
      </c>
      <c r="E294" s="4">
        <v>3781894</v>
      </c>
      <c r="F294" s="5">
        <v>1.4622303004790721E-4</v>
      </c>
    </row>
    <row r="295" spans="1:6">
      <c r="A295" s="1" t="s">
        <v>330</v>
      </c>
      <c r="B295" s="1">
        <v>2014</v>
      </c>
      <c r="C295" s="1">
        <v>558</v>
      </c>
      <c r="D295" s="4" t="s">
        <v>336</v>
      </c>
      <c r="E295" s="4">
        <v>3831863</v>
      </c>
      <c r="F295" s="5">
        <v>1.4562107256966129E-4</v>
      </c>
    </row>
    <row r="296" spans="1:6">
      <c r="A296" s="1" t="s">
        <v>330</v>
      </c>
      <c r="B296" s="1">
        <v>2015</v>
      </c>
      <c r="C296" s="1">
        <v>566</v>
      </c>
      <c r="D296" s="4" t="s">
        <v>337</v>
      </c>
      <c r="E296" s="4">
        <v>4148512</v>
      </c>
      <c r="F296" s="5">
        <v>1.3643446132010706E-4</v>
      </c>
    </row>
    <row r="297" spans="1:6">
      <c r="A297" s="1" t="s">
        <v>330</v>
      </c>
      <c r="B297" s="1">
        <v>2016</v>
      </c>
      <c r="C297" s="1">
        <v>358</v>
      </c>
      <c r="D297" s="4" t="s">
        <v>338</v>
      </c>
      <c r="E297" s="4">
        <v>3791992</v>
      </c>
      <c r="F297" s="5">
        <v>9.4409481876544049E-5</v>
      </c>
    </row>
    <row r="298" spans="1:6">
      <c r="A298" s="1" t="s">
        <v>339</v>
      </c>
      <c r="B298" s="1">
        <v>2009</v>
      </c>
      <c r="C298" s="1">
        <v>304</v>
      </c>
      <c r="D298" s="4" t="s">
        <v>340</v>
      </c>
      <c r="E298" s="4">
        <v>3694697</v>
      </c>
      <c r="F298" s="5">
        <v>8.2280089544555342E-5</v>
      </c>
    </row>
    <row r="299" spans="1:6">
      <c r="A299" s="1" t="s">
        <v>339</v>
      </c>
      <c r="B299" s="1">
        <v>2010</v>
      </c>
      <c r="C299" s="1">
        <v>261</v>
      </c>
      <c r="D299" s="4" t="s">
        <v>341</v>
      </c>
      <c r="E299" s="4">
        <v>3761910</v>
      </c>
      <c r="F299" s="5">
        <v>6.9379650230866764E-5</v>
      </c>
    </row>
    <row r="300" spans="1:6">
      <c r="A300" s="1" t="s">
        <v>339</v>
      </c>
      <c r="B300" s="1">
        <v>2011</v>
      </c>
      <c r="C300" s="1">
        <v>237</v>
      </c>
      <c r="D300" s="4" t="s">
        <v>342</v>
      </c>
      <c r="E300" s="4">
        <v>3745417</v>
      </c>
      <c r="F300" s="5">
        <v>6.3277333338317206E-5</v>
      </c>
    </row>
    <row r="301" spans="1:6">
      <c r="A301" s="1" t="s">
        <v>339</v>
      </c>
      <c r="B301" s="1">
        <v>2012</v>
      </c>
      <c r="C301" s="1">
        <v>220</v>
      </c>
      <c r="D301" s="4" t="s">
        <v>343</v>
      </c>
      <c r="E301" s="4">
        <v>3859680</v>
      </c>
      <c r="F301" s="5">
        <v>5.699954400364797E-5</v>
      </c>
    </row>
    <row r="302" spans="1:6">
      <c r="A302" s="1" t="s">
        <v>339</v>
      </c>
      <c r="B302" s="1">
        <v>2013</v>
      </c>
      <c r="C302" s="1">
        <v>293</v>
      </c>
      <c r="D302" s="4" t="s">
        <v>344</v>
      </c>
      <c r="E302" s="4">
        <v>3894343</v>
      </c>
      <c r="F302" s="5">
        <v>7.5237337851339757E-5</v>
      </c>
    </row>
    <row r="303" spans="1:6">
      <c r="A303" s="1" t="s">
        <v>339</v>
      </c>
      <c r="B303" s="1">
        <v>2014</v>
      </c>
      <c r="C303" s="1">
        <v>273</v>
      </c>
      <c r="D303" s="4" t="s">
        <v>345</v>
      </c>
      <c r="E303" s="4">
        <v>3931719</v>
      </c>
      <c r="F303" s="5">
        <v>6.94352775465388E-5</v>
      </c>
    </row>
    <row r="304" spans="1:6">
      <c r="A304" s="1" t="s">
        <v>339</v>
      </c>
      <c r="B304" s="1">
        <v>2015</v>
      </c>
      <c r="C304" s="1">
        <v>268</v>
      </c>
      <c r="D304" s="4" t="s">
        <v>346</v>
      </c>
      <c r="E304" s="4">
        <v>3813556</v>
      </c>
      <c r="F304" s="5">
        <v>7.0275616773426169E-5</v>
      </c>
    </row>
    <row r="305" spans="1:6">
      <c r="A305" s="1" t="s">
        <v>339</v>
      </c>
      <c r="B305" s="1">
        <v>2016</v>
      </c>
      <c r="C305" s="1">
        <v>245</v>
      </c>
      <c r="D305" s="4" t="s">
        <v>347</v>
      </c>
      <c r="E305" s="4">
        <v>4029474</v>
      </c>
      <c r="F305" s="5">
        <v>6.0801980605905385E-5</v>
      </c>
    </row>
    <row r="306" spans="1:6">
      <c r="A306" s="1" t="s">
        <v>348</v>
      </c>
      <c r="B306" s="1">
        <v>2009</v>
      </c>
      <c r="C306" s="1">
        <v>2432</v>
      </c>
      <c r="D306" s="4" t="s">
        <v>349</v>
      </c>
      <c r="E306" s="4">
        <v>12539703</v>
      </c>
      <c r="F306" s="5">
        <v>1.9394398734962065E-4</v>
      </c>
    </row>
    <row r="307" spans="1:6">
      <c r="A307" s="1" t="s">
        <v>348</v>
      </c>
      <c r="B307" s="1">
        <v>2010</v>
      </c>
      <c r="C307" s="1">
        <v>2174</v>
      </c>
      <c r="D307" s="4" t="s">
        <v>350</v>
      </c>
      <c r="E307" s="4">
        <v>12554832</v>
      </c>
      <c r="F307" s="5">
        <v>1.7316042142180796E-4</v>
      </c>
    </row>
    <row r="308" spans="1:6">
      <c r="A308" s="1" t="s">
        <v>348</v>
      </c>
      <c r="B308" s="1">
        <v>2011</v>
      </c>
      <c r="C308" s="1">
        <v>2638</v>
      </c>
      <c r="D308" s="4" t="s">
        <v>351</v>
      </c>
      <c r="E308" s="4">
        <v>12537929</v>
      </c>
      <c r="F308" s="5">
        <v>2.1040157429508494E-4</v>
      </c>
    </row>
    <row r="309" spans="1:6">
      <c r="A309" s="1" t="s">
        <v>348</v>
      </c>
      <c r="B309" s="1">
        <v>2012</v>
      </c>
      <c r="C309" s="1">
        <v>2190</v>
      </c>
      <c r="D309" s="4" t="s">
        <v>352</v>
      </c>
      <c r="E309" s="4">
        <v>12638726</v>
      </c>
      <c r="F309" s="5">
        <v>1.7327695845293267E-4</v>
      </c>
    </row>
    <row r="310" spans="1:6">
      <c r="A310" s="1" t="s">
        <v>348</v>
      </c>
      <c r="B310" s="1">
        <v>2013</v>
      </c>
      <c r="C310" s="1">
        <v>2741</v>
      </c>
      <c r="D310" s="4" t="s">
        <v>353</v>
      </c>
      <c r="E310" s="4">
        <v>12666382</v>
      </c>
      <c r="F310" s="5">
        <v>2.1639960013838206E-4</v>
      </c>
    </row>
    <row r="311" spans="1:6">
      <c r="A311" s="1" t="s">
        <v>348</v>
      </c>
      <c r="B311" s="1">
        <v>2014</v>
      </c>
      <c r="C311" s="1">
        <v>2432</v>
      </c>
      <c r="D311" s="4" t="s">
        <v>354</v>
      </c>
      <c r="E311" s="4">
        <v>12566922</v>
      </c>
      <c r="F311" s="5">
        <v>1.9352391938137279E-4</v>
      </c>
    </row>
    <row r="312" spans="1:6">
      <c r="A312" s="1" t="s">
        <v>348</v>
      </c>
      <c r="B312" s="1">
        <v>2015</v>
      </c>
      <c r="C312" s="1">
        <v>2786</v>
      </c>
      <c r="D312" s="4" t="s">
        <v>355</v>
      </c>
      <c r="E312" s="4">
        <v>12617386</v>
      </c>
      <c r="F312" s="5">
        <v>2.2080643328182241E-4</v>
      </c>
    </row>
    <row r="313" spans="1:6">
      <c r="A313" s="1" t="s">
        <v>348</v>
      </c>
      <c r="B313" s="1">
        <v>2016</v>
      </c>
      <c r="C313" s="1">
        <v>2329</v>
      </c>
      <c r="D313" s="4" t="s">
        <v>356</v>
      </c>
      <c r="E313" s="4">
        <v>12893949</v>
      </c>
      <c r="F313" s="5">
        <v>1.8062736249383333E-4</v>
      </c>
    </row>
    <row r="314" spans="1:6">
      <c r="A314" s="1" t="s">
        <v>357</v>
      </c>
      <c r="B314" s="1">
        <v>2009</v>
      </c>
      <c r="C314" s="1">
        <v>70</v>
      </c>
      <c r="D314" s="4" t="s">
        <v>358</v>
      </c>
      <c r="E314" s="4">
        <v>1057381</v>
      </c>
      <c r="F314" s="5">
        <v>6.6201303030790224E-5</v>
      </c>
    </row>
    <row r="315" spans="1:6">
      <c r="A315" s="1" t="s">
        <v>357</v>
      </c>
      <c r="B315" s="1">
        <v>2010</v>
      </c>
      <c r="C315" s="1">
        <v>95</v>
      </c>
      <c r="D315" s="4" t="s">
        <v>359</v>
      </c>
      <c r="E315" s="4">
        <v>1056389</v>
      </c>
      <c r="F315" s="5">
        <v>8.9928993959611473E-5</v>
      </c>
    </row>
    <row r="316" spans="1:6">
      <c r="A316" s="1" t="s">
        <v>357</v>
      </c>
      <c r="B316" s="1">
        <v>2011</v>
      </c>
      <c r="C316" s="1">
        <v>101</v>
      </c>
      <c r="D316" s="4" t="s">
        <v>360</v>
      </c>
      <c r="E316" s="4">
        <v>1053959</v>
      </c>
      <c r="F316" s="5">
        <v>9.5829154644535506E-5</v>
      </c>
    </row>
    <row r="317" spans="1:6">
      <c r="A317" s="1" t="s">
        <v>357</v>
      </c>
      <c r="B317" s="1">
        <v>2012</v>
      </c>
      <c r="C317" s="1">
        <v>31</v>
      </c>
      <c r="D317" s="4" t="s">
        <v>361</v>
      </c>
      <c r="E317" s="4">
        <v>1052471</v>
      </c>
      <c r="F317" s="5">
        <v>2.9454493282950314E-5</v>
      </c>
    </row>
    <row r="318" spans="1:6">
      <c r="A318" s="1" t="s">
        <v>357</v>
      </c>
      <c r="B318" s="1">
        <v>2013</v>
      </c>
      <c r="C318" s="1">
        <v>71</v>
      </c>
      <c r="D318" s="4" t="s">
        <v>362</v>
      </c>
      <c r="E318" s="4">
        <v>1051695</v>
      </c>
      <c r="F318" s="5">
        <v>6.7510067082186373E-5</v>
      </c>
    </row>
    <row r="319" spans="1:6">
      <c r="A319" s="1" t="s">
        <v>357</v>
      </c>
      <c r="B319" s="1">
        <v>2014</v>
      </c>
      <c r="C319" s="1">
        <v>56</v>
      </c>
      <c r="D319" s="4" t="s">
        <v>363</v>
      </c>
      <c r="E319" s="4">
        <v>1053252</v>
      </c>
      <c r="F319" s="5">
        <v>5.3168662390387105E-5</v>
      </c>
    </row>
    <row r="320" spans="1:6">
      <c r="A320" s="1" t="s">
        <v>357</v>
      </c>
      <c r="B320" s="1">
        <v>2015</v>
      </c>
      <c r="C320" s="1">
        <v>135</v>
      </c>
      <c r="D320" s="4" t="s">
        <v>364</v>
      </c>
      <c r="E320" s="4">
        <v>1136426</v>
      </c>
      <c r="F320" s="5">
        <v>1.1879348061378392E-4</v>
      </c>
    </row>
    <row r="321" spans="1:6">
      <c r="A321" s="1" t="s">
        <v>357</v>
      </c>
      <c r="B321" s="1">
        <v>2016</v>
      </c>
      <c r="C321" s="1">
        <v>21</v>
      </c>
      <c r="D321" s="4" t="s">
        <v>365</v>
      </c>
      <c r="E321" s="4">
        <v>1054491</v>
      </c>
      <c r="F321" s="5">
        <v>1.991482146362558E-5</v>
      </c>
    </row>
    <row r="322" spans="1:6">
      <c r="A322" s="1" t="s">
        <v>366</v>
      </c>
      <c r="B322" s="1">
        <v>2009</v>
      </c>
      <c r="C322" s="1">
        <v>562</v>
      </c>
      <c r="D322" s="4" t="s">
        <v>367</v>
      </c>
      <c r="E322" s="4">
        <v>4386090</v>
      </c>
      <c r="F322" s="5">
        <v>1.2813234566550163E-4</v>
      </c>
    </row>
    <row r="323" spans="1:6">
      <c r="A323" s="1" t="s">
        <v>366</v>
      </c>
      <c r="B323" s="1">
        <v>2010</v>
      </c>
      <c r="C323" s="1">
        <v>567</v>
      </c>
      <c r="D323" s="4" t="s">
        <v>368</v>
      </c>
      <c r="E323" s="4">
        <v>4815846</v>
      </c>
      <c r="F323" s="5">
        <v>1.177363229638157E-4</v>
      </c>
    </row>
    <row r="324" spans="1:6">
      <c r="A324" s="1" t="s">
        <v>366</v>
      </c>
      <c r="B324" s="1">
        <v>2011</v>
      </c>
      <c r="C324" s="1">
        <v>601</v>
      </c>
      <c r="D324" s="4" t="s">
        <v>369</v>
      </c>
      <c r="E324" s="4">
        <v>4484229</v>
      </c>
      <c r="F324" s="5">
        <v>1.3402526944988761E-4</v>
      </c>
    </row>
    <row r="325" spans="1:6">
      <c r="A325" s="1" t="s">
        <v>366</v>
      </c>
      <c r="B325" s="1">
        <v>2012</v>
      </c>
      <c r="C325" s="1">
        <v>558</v>
      </c>
      <c r="D325" s="4" t="s">
        <v>370</v>
      </c>
      <c r="E325" s="4">
        <v>4634882</v>
      </c>
      <c r="F325" s="5">
        <v>1.2039141449555781E-4</v>
      </c>
    </row>
    <row r="326" spans="1:6">
      <c r="A326" s="1" t="s">
        <v>366</v>
      </c>
      <c r="B326" s="1">
        <v>2013</v>
      </c>
      <c r="C326" s="1">
        <v>559</v>
      </c>
      <c r="D326" s="4" t="s">
        <v>371</v>
      </c>
      <c r="E326" s="4">
        <v>4642701</v>
      </c>
      <c r="F326" s="5">
        <v>1.2040404928079581E-4</v>
      </c>
    </row>
    <row r="327" spans="1:6">
      <c r="A327" s="1" t="s">
        <v>366</v>
      </c>
      <c r="B327" s="1">
        <v>2014</v>
      </c>
      <c r="C327" s="1">
        <v>562</v>
      </c>
      <c r="D327" s="4" t="s">
        <v>372</v>
      </c>
      <c r="E327" s="4">
        <v>4725911</v>
      </c>
      <c r="F327" s="5">
        <v>1.1891887088013296E-4</v>
      </c>
    </row>
    <row r="328" spans="1:6">
      <c r="A328" s="1" t="s">
        <v>366</v>
      </c>
      <c r="B328" s="1">
        <v>2015</v>
      </c>
      <c r="C328" s="1">
        <v>708</v>
      </c>
      <c r="D328" s="4" t="s">
        <v>373</v>
      </c>
      <c r="E328" s="4">
        <v>4630051</v>
      </c>
      <c r="F328" s="5">
        <v>1.5291408237187883E-4</v>
      </c>
    </row>
    <row r="329" spans="1:6">
      <c r="A329" s="1" t="s">
        <v>366</v>
      </c>
      <c r="B329" s="1">
        <v>2016</v>
      </c>
      <c r="C329" s="1">
        <v>533</v>
      </c>
      <c r="D329" s="4" t="s">
        <v>374</v>
      </c>
      <c r="E329" s="4">
        <v>1460580</v>
      </c>
      <c r="F329" s="5">
        <v>3.6492352353174765E-4</v>
      </c>
    </row>
    <row r="330" spans="1:6">
      <c r="A330" s="1" t="s">
        <v>375</v>
      </c>
      <c r="B330" s="1">
        <v>2009</v>
      </c>
      <c r="C330" s="1">
        <v>30</v>
      </c>
      <c r="D330" s="4" t="s">
        <v>376</v>
      </c>
      <c r="E330" s="4">
        <v>786961</v>
      </c>
      <c r="F330" s="5">
        <v>3.8121330027790452E-5</v>
      </c>
    </row>
    <row r="331" spans="1:6">
      <c r="A331" s="1" t="s">
        <v>375</v>
      </c>
      <c r="B331" s="1">
        <v>2010</v>
      </c>
      <c r="C331" s="1">
        <v>47</v>
      </c>
      <c r="D331" s="4" t="s">
        <v>377</v>
      </c>
      <c r="E331" s="4">
        <v>741943</v>
      </c>
      <c r="F331" s="5">
        <v>6.3347184352436774E-5</v>
      </c>
    </row>
    <row r="332" spans="1:6">
      <c r="A332" s="1" t="s">
        <v>375</v>
      </c>
      <c r="B332" s="1">
        <v>2011</v>
      </c>
      <c r="C332" s="1">
        <v>40</v>
      </c>
      <c r="D332" s="4" t="s">
        <v>378</v>
      </c>
      <c r="E332" s="4">
        <v>848110</v>
      </c>
      <c r="F332" s="5">
        <v>4.716369338882928E-5</v>
      </c>
    </row>
    <row r="333" spans="1:6">
      <c r="A333" s="1" t="s">
        <v>375</v>
      </c>
      <c r="B333" s="1">
        <v>2012</v>
      </c>
      <c r="C333" s="1">
        <v>70</v>
      </c>
      <c r="D333" s="4" t="s">
        <v>379</v>
      </c>
      <c r="E333" s="4">
        <v>798524</v>
      </c>
      <c r="F333" s="5">
        <v>8.766173590274056E-5</v>
      </c>
    </row>
    <row r="334" spans="1:6">
      <c r="A334" s="1" t="s">
        <v>375</v>
      </c>
      <c r="B334" s="1">
        <v>2013</v>
      </c>
      <c r="C334" s="1">
        <v>67</v>
      </c>
      <c r="D334" s="4" t="s">
        <v>380</v>
      </c>
      <c r="E334" s="4">
        <v>773290</v>
      </c>
      <c r="F334" s="5">
        <v>8.6642786018182048E-5</v>
      </c>
    </row>
    <row r="335" spans="1:6">
      <c r="A335" s="1" t="s">
        <v>375</v>
      </c>
      <c r="B335" s="1">
        <v>2014</v>
      </c>
      <c r="C335" s="1">
        <v>69</v>
      </c>
      <c r="D335" s="4" t="s">
        <v>381</v>
      </c>
      <c r="E335" s="4">
        <v>711602</v>
      </c>
      <c r="F335" s="5">
        <v>9.6964314321769759E-5</v>
      </c>
    </row>
    <row r="336" spans="1:6">
      <c r="A336" s="1" t="s">
        <v>375</v>
      </c>
      <c r="B336" s="1">
        <v>2015</v>
      </c>
      <c r="C336" s="1">
        <v>82</v>
      </c>
      <c r="D336" s="4" t="s">
        <v>382</v>
      </c>
      <c r="E336" s="4">
        <v>657576</v>
      </c>
      <c r="F336" s="5">
        <v>1.247004148569899E-4</v>
      </c>
    </row>
    <row r="337" spans="1:6">
      <c r="A337" s="1" t="s">
        <v>375</v>
      </c>
      <c r="B337" s="1">
        <v>2016</v>
      </c>
      <c r="C337" s="1">
        <v>70</v>
      </c>
      <c r="D337" s="4" t="s">
        <v>383</v>
      </c>
      <c r="E337" s="21">
        <f>AVERAGE(E330:E336)</f>
        <v>759715.14285714284</v>
      </c>
      <c r="F337" s="5">
        <v>1.247004148569899E-4</v>
      </c>
    </row>
    <row r="338" spans="1:6">
      <c r="A338" s="1" t="s">
        <v>384</v>
      </c>
      <c r="B338" s="1">
        <v>2009</v>
      </c>
      <c r="C338" s="1">
        <v>1207</v>
      </c>
      <c r="D338" s="4" t="s">
        <v>385</v>
      </c>
      <c r="E338" s="4">
        <v>6056214</v>
      </c>
      <c r="F338" s="5">
        <v>1.9929943030414711E-4</v>
      </c>
    </row>
    <row r="339" spans="1:6">
      <c r="A339" s="1" t="s">
        <v>384</v>
      </c>
      <c r="B339" s="1">
        <v>2010</v>
      </c>
      <c r="C339" s="1">
        <v>1227</v>
      </c>
      <c r="D339" s="4" t="s">
        <v>386</v>
      </c>
      <c r="E339" s="4">
        <v>6268463</v>
      </c>
      <c r="F339" s="5">
        <v>1.9574176317224812E-4</v>
      </c>
    </row>
    <row r="340" spans="1:6">
      <c r="A340" s="1" t="s">
        <v>384</v>
      </c>
      <c r="B340" s="1">
        <v>2011</v>
      </c>
      <c r="C340" s="1">
        <v>1306</v>
      </c>
      <c r="D340" s="4" t="s">
        <v>387</v>
      </c>
      <c r="E340" s="4">
        <v>6341858</v>
      </c>
      <c r="F340" s="5">
        <v>2.059333400400955E-4</v>
      </c>
    </row>
    <row r="341" spans="1:6">
      <c r="A341" s="1" t="s">
        <v>384</v>
      </c>
      <c r="B341" s="1">
        <v>2012</v>
      </c>
      <c r="C341" s="1">
        <v>1279</v>
      </c>
      <c r="D341" s="4" t="s">
        <v>388</v>
      </c>
      <c r="E341" s="4">
        <v>6331873</v>
      </c>
      <c r="F341" s="5">
        <v>2.019939439720285E-4</v>
      </c>
    </row>
    <row r="342" spans="1:6">
      <c r="A342" s="1" t="s">
        <v>384</v>
      </c>
      <c r="B342" s="1">
        <v>2013</v>
      </c>
      <c r="C342" s="1">
        <v>1435</v>
      </c>
      <c r="D342" s="4" t="s">
        <v>389</v>
      </c>
      <c r="E342" s="4">
        <v>6184829</v>
      </c>
      <c r="F342" s="5">
        <v>2.3201934928192842E-4</v>
      </c>
    </row>
    <row r="343" spans="1:6">
      <c r="A343" s="1" t="s">
        <v>384</v>
      </c>
      <c r="B343" s="1">
        <v>2014</v>
      </c>
      <c r="C343" s="1">
        <v>1485</v>
      </c>
      <c r="D343" s="4" t="s">
        <v>390</v>
      </c>
      <c r="E343" s="4">
        <v>6516834</v>
      </c>
      <c r="F343" s="5">
        <v>2.2787138662731012E-4</v>
      </c>
    </row>
    <row r="344" spans="1:6">
      <c r="A344" s="1" t="s">
        <v>384</v>
      </c>
      <c r="B344" s="1">
        <v>2015</v>
      </c>
      <c r="C344" s="1">
        <v>1550</v>
      </c>
      <c r="D344" s="4" t="s">
        <v>391</v>
      </c>
      <c r="E344" s="4">
        <v>6469040</v>
      </c>
      <c r="F344" s="5">
        <v>2.3960278495727342E-4</v>
      </c>
    </row>
    <row r="345" spans="1:6">
      <c r="A345" s="1" t="s">
        <v>384</v>
      </c>
      <c r="B345" s="1">
        <v>2016</v>
      </c>
      <c r="C345" s="1">
        <v>1427</v>
      </c>
      <c r="D345" s="4" t="s">
        <v>392</v>
      </c>
      <c r="E345" s="21">
        <f>AVERAGE(E338:E344)</f>
        <v>6309873</v>
      </c>
      <c r="F345" s="5">
        <v>2.3960278495727342E-4</v>
      </c>
    </row>
    <row r="346" spans="1:6">
      <c r="A346" s="1" t="s">
        <v>393</v>
      </c>
      <c r="B346" s="1">
        <v>2009</v>
      </c>
      <c r="C346" s="1">
        <v>3168</v>
      </c>
      <c r="D346" s="4" t="s">
        <v>394</v>
      </c>
      <c r="E346" s="4">
        <v>23721521</v>
      </c>
      <c r="F346" s="5">
        <v>1.3354961513639872E-4</v>
      </c>
    </row>
    <row r="347" spans="1:6">
      <c r="A347" s="1" t="s">
        <v>393</v>
      </c>
      <c r="B347" s="1">
        <v>2010</v>
      </c>
      <c r="C347" s="1">
        <v>2854</v>
      </c>
      <c r="D347" s="4" t="s">
        <v>395</v>
      </c>
      <c r="E347" s="4">
        <v>24172190</v>
      </c>
      <c r="F347" s="5">
        <v>1.180695667210956E-4</v>
      </c>
    </row>
    <row r="348" spans="1:6">
      <c r="A348" s="1" t="s">
        <v>393</v>
      </c>
      <c r="B348" s="1">
        <v>2011</v>
      </c>
      <c r="C348" s="1">
        <v>2868</v>
      </c>
      <c r="D348" s="4" t="s">
        <v>396</v>
      </c>
      <c r="E348" s="4">
        <v>24819768</v>
      </c>
      <c r="F348" s="5">
        <v>1.1555305432347313E-4</v>
      </c>
    </row>
    <row r="349" spans="1:6">
      <c r="A349" s="1" t="s">
        <v>393</v>
      </c>
      <c r="B349" s="1">
        <v>2012</v>
      </c>
      <c r="C349" s="1">
        <v>2815</v>
      </c>
      <c r="D349" s="4" t="s">
        <v>397</v>
      </c>
      <c r="E349" s="4">
        <v>25037667</v>
      </c>
      <c r="F349" s="5">
        <v>1.1243060305898309E-4</v>
      </c>
    </row>
    <row r="350" spans="1:6">
      <c r="A350" s="1" t="s">
        <v>393</v>
      </c>
      <c r="B350" s="1">
        <v>2013</v>
      </c>
      <c r="C350" s="1">
        <v>3195</v>
      </c>
      <c r="D350" s="4" t="s">
        <v>398</v>
      </c>
      <c r="E350" s="4">
        <v>25684305</v>
      </c>
      <c r="F350" s="5">
        <v>1.2439503424367527E-4</v>
      </c>
    </row>
    <row r="351" spans="1:6">
      <c r="A351" s="1" t="s">
        <v>393</v>
      </c>
      <c r="B351" s="1">
        <v>2014</v>
      </c>
      <c r="C351" s="1">
        <v>3311</v>
      </c>
      <c r="D351" s="4" t="s">
        <v>399</v>
      </c>
      <c r="E351" s="4">
        <v>26011866</v>
      </c>
      <c r="F351" s="5">
        <v>1.2728806153314799E-4</v>
      </c>
    </row>
    <row r="352" spans="1:6">
      <c r="A352" s="1" t="s">
        <v>393</v>
      </c>
      <c r="B352" s="1">
        <v>2015</v>
      </c>
      <c r="C352" s="1">
        <v>3070</v>
      </c>
      <c r="D352" s="4" t="s">
        <v>400</v>
      </c>
      <c r="E352" s="4">
        <v>26071613</v>
      </c>
      <c r="F352" s="5">
        <v>1.1775259167892681E-4</v>
      </c>
    </row>
    <row r="353" spans="1:6">
      <c r="A353" s="1" t="s">
        <v>393</v>
      </c>
      <c r="B353" s="1">
        <v>2016</v>
      </c>
      <c r="C353" s="1">
        <v>2694</v>
      </c>
      <c r="D353" s="4" t="s">
        <v>401</v>
      </c>
      <c r="E353" s="21">
        <f>AVERAGE(E346:E352)</f>
        <v>25074132.857142858</v>
      </c>
      <c r="F353" s="5">
        <v>1.1775259167892681E-4</v>
      </c>
    </row>
    <row r="354" spans="1:6">
      <c r="A354" s="1" t="s">
        <v>402</v>
      </c>
      <c r="B354" s="1">
        <v>2009</v>
      </c>
      <c r="C354" s="1">
        <v>120</v>
      </c>
      <c r="D354" s="4" t="s">
        <v>403</v>
      </c>
      <c r="E354" s="4">
        <v>2632280</v>
      </c>
      <c r="F354" s="5">
        <v>4.5587855395322685E-5</v>
      </c>
    </row>
    <row r="355" spans="1:6">
      <c r="A355" s="1" t="s">
        <v>402</v>
      </c>
      <c r="B355" s="1">
        <v>2010</v>
      </c>
      <c r="C355" s="1">
        <v>173</v>
      </c>
      <c r="D355" s="4" t="s">
        <v>404</v>
      </c>
      <c r="E355" s="4">
        <v>2665430</v>
      </c>
      <c r="F355" s="5">
        <v>6.4905099740004426E-5</v>
      </c>
    </row>
    <row r="356" spans="1:6">
      <c r="A356" s="1" t="s">
        <v>402</v>
      </c>
      <c r="B356" s="1">
        <v>2011</v>
      </c>
      <c r="C356" s="1">
        <v>176</v>
      </c>
      <c r="D356" s="4" t="s">
        <v>405</v>
      </c>
      <c r="E356" s="4">
        <v>2672834</v>
      </c>
      <c r="F356" s="5">
        <v>6.5847710707062247E-5</v>
      </c>
    </row>
    <row r="357" spans="1:6">
      <c r="A357" s="1" t="s">
        <v>402</v>
      </c>
      <c r="B357" s="1">
        <v>2012</v>
      </c>
      <c r="C357" s="1">
        <v>157</v>
      </c>
      <c r="D357" s="4" t="s">
        <v>406</v>
      </c>
      <c r="E357" s="4">
        <v>2773327</v>
      </c>
      <c r="F357" s="5">
        <v>5.6610706202333877E-5</v>
      </c>
    </row>
    <row r="358" spans="1:6">
      <c r="A358" s="1" t="s">
        <v>402</v>
      </c>
      <c r="B358" s="1">
        <v>2013</v>
      </c>
      <c r="C358" s="1">
        <v>230</v>
      </c>
      <c r="D358" s="4" t="s">
        <v>407</v>
      </c>
      <c r="E358" s="4">
        <v>2938531</v>
      </c>
      <c r="F358" s="5">
        <v>7.8270401094968878E-5</v>
      </c>
    </row>
    <row r="359" spans="1:6">
      <c r="A359" s="1" t="s">
        <v>402</v>
      </c>
      <c r="B359" s="1">
        <v>2014</v>
      </c>
      <c r="C359" s="1">
        <v>186</v>
      </c>
      <c r="D359" s="4" t="s">
        <v>408</v>
      </c>
      <c r="E359" s="4">
        <v>2835421</v>
      </c>
      <c r="F359" s="5">
        <v>6.5598724140083608E-5</v>
      </c>
    </row>
    <row r="360" spans="1:6">
      <c r="A360" s="1" t="s">
        <v>402</v>
      </c>
      <c r="B360" s="1">
        <v>2015</v>
      </c>
      <c r="C360" s="1">
        <v>170</v>
      </c>
      <c r="D360" s="4" t="s">
        <v>409</v>
      </c>
      <c r="E360" s="4">
        <v>2906075</v>
      </c>
      <c r="F360" s="5">
        <v>5.8498146124927955E-5</v>
      </c>
    </row>
    <row r="361" spans="1:6">
      <c r="A361" s="1" t="s">
        <v>402</v>
      </c>
      <c r="B361" s="1">
        <v>2016</v>
      </c>
      <c r="C361" s="1">
        <v>183</v>
      </c>
      <c r="D361" s="4" t="s">
        <v>410</v>
      </c>
      <c r="E361" s="21">
        <f>AVERAGE(E354:E360)</f>
        <v>2774842.5714285714</v>
      </c>
      <c r="F361" s="5">
        <v>1.5703155337006293E-4</v>
      </c>
    </row>
    <row r="362" spans="1:6">
      <c r="A362" s="1" t="s">
        <v>411</v>
      </c>
      <c r="B362" s="1">
        <v>2009</v>
      </c>
      <c r="C362" s="1">
        <v>0</v>
      </c>
      <c r="D362" s="4" t="s">
        <v>412</v>
      </c>
      <c r="E362" s="4">
        <v>620414</v>
      </c>
      <c r="F362" s="5">
        <v>0</v>
      </c>
    </row>
    <row r="363" spans="1:6">
      <c r="A363" s="1" t="s">
        <v>411</v>
      </c>
      <c r="B363" s="1">
        <v>2010</v>
      </c>
      <c r="C363" s="1">
        <v>0</v>
      </c>
      <c r="D363" s="4" t="s">
        <v>413</v>
      </c>
      <c r="E363" s="4">
        <v>572962</v>
      </c>
      <c r="F363" s="5">
        <v>0</v>
      </c>
    </row>
    <row r="364" spans="1:6">
      <c r="A364" s="1" t="s">
        <v>411</v>
      </c>
      <c r="B364" s="1">
        <v>2011</v>
      </c>
      <c r="C364" s="1">
        <v>0</v>
      </c>
      <c r="D364" s="4" t="s">
        <v>414</v>
      </c>
      <c r="E364" s="4">
        <v>691057</v>
      </c>
      <c r="F364" s="5">
        <v>0</v>
      </c>
    </row>
    <row r="365" spans="1:6">
      <c r="A365" s="1" t="s">
        <v>411</v>
      </c>
      <c r="B365" s="1">
        <v>2012</v>
      </c>
      <c r="C365" s="1">
        <v>0</v>
      </c>
      <c r="D365" s="4" t="s">
        <v>415</v>
      </c>
      <c r="E365" s="4">
        <v>647458</v>
      </c>
      <c r="F365" s="5">
        <v>0</v>
      </c>
    </row>
    <row r="366" spans="1:6">
      <c r="A366" s="1" t="s">
        <v>411</v>
      </c>
      <c r="B366" s="1">
        <v>2013</v>
      </c>
      <c r="C366" s="1">
        <v>0</v>
      </c>
      <c r="D366" s="4" t="s">
        <v>416</v>
      </c>
      <c r="E366" s="4">
        <v>557930</v>
      </c>
      <c r="F366" s="5">
        <v>0</v>
      </c>
    </row>
    <row r="367" spans="1:6">
      <c r="A367" s="1" t="s">
        <v>411</v>
      </c>
      <c r="B367" s="1">
        <v>2014</v>
      </c>
      <c r="C367" s="1">
        <v>0</v>
      </c>
      <c r="D367" s="4" t="s">
        <v>417</v>
      </c>
      <c r="E367" s="4">
        <v>508585</v>
      </c>
      <c r="F367" s="5">
        <v>0</v>
      </c>
    </row>
    <row r="368" spans="1:6">
      <c r="A368" s="1" t="s">
        <v>411</v>
      </c>
      <c r="B368" s="1">
        <v>2015</v>
      </c>
      <c r="C368" s="1">
        <v>20</v>
      </c>
      <c r="D368" s="4" t="s">
        <v>418</v>
      </c>
      <c r="E368" s="4">
        <v>746112</v>
      </c>
      <c r="F368" s="5">
        <v>2.6805627037227654E-5</v>
      </c>
    </row>
    <row r="369" spans="1:6">
      <c r="A369" s="1" t="s">
        <v>411</v>
      </c>
      <c r="B369" s="1">
        <v>2016</v>
      </c>
      <c r="C369" s="1">
        <v>0</v>
      </c>
      <c r="D369" s="4" t="s">
        <v>419</v>
      </c>
      <c r="E369" s="21">
        <f>AVERAGE(E362:E368)</f>
        <v>620645.42857142852</v>
      </c>
      <c r="F369" s="5">
        <v>1.5703155337006293E-4</v>
      </c>
    </row>
    <row r="370" spans="1:6">
      <c r="A370" s="1" t="s">
        <v>420</v>
      </c>
      <c r="B370" s="1">
        <v>2009</v>
      </c>
      <c r="C370" s="1">
        <v>1055</v>
      </c>
      <c r="D370" s="4" t="s">
        <v>421</v>
      </c>
      <c r="E370" s="4">
        <v>7685567</v>
      </c>
      <c r="F370" s="5">
        <v>1.3727028858118081E-4</v>
      </c>
    </row>
    <row r="371" spans="1:6">
      <c r="A371" s="1" t="s">
        <v>420</v>
      </c>
      <c r="B371" s="1">
        <v>2010</v>
      </c>
      <c r="C371" s="1">
        <v>1023</v>
      </c>
      <c r="D371" s="4" t="s">
        <v>422</v>
      </c>
      <c r="E371" s="4">
        <v>7572296</v>
      </c>
      <c r="F371" s="5">
        <v>1.3509772993554399E-4</v>
      </c>
    </row>
    <row r="372" spans="1:6">
      <c r="A372" s="1" t="s">
        <v>420</v>
      </c>
      <c r="B372" s="1">
        <v>2011</v>
      </c>
      <c r="C372" s="1">
        <v>1285</v>
      </c>
      <c r="D372" s="4" t="s">
        <v>423</v>
      </c>
      <c r="E372" s="4">
        <v>7910723</v>
      </c>
      <c r="F372" s="5">
        <v>1.6243774431237197E-4</v>
      </c>
    </row>
    <row r="373" spans="1:6">
      <c r="A373" s="1" t="s">
        <v>420</v>
      </c>
      <c r="B373" s="1">
        <v>2012</v>
      </c>
      <c r="C373" s="1">
        <v>1116</v>
      </c>
      <c r="D373" s="4" t="s">
        <v>424</v>
      </c>
      <c r="E373" s="4">
        <v>7625851</v>
      </c>
      <c r="F373" s="5">
        <v>1.4634432275165092E-4</v>
      </c>
    </row>
    <row r="374" spans="1:6">
      <c r="A374" s="1" t="s">
        <v>420</v>
      </c>
      <c r="B374" s="1">
        <v>2013</v>
      </c>
      <c r="C374" s="1">
        <v>1272</v>
      </c>
      <c r="D374" s="4" t="s">
        <v>425</v>
      </c>
      <c r="E374" s="4">
        <v>8076916</v>
      </c>
      <c r="F374" s="5">
        <v>1.5748585227331818E-4</v>
      </c>
    </row>
    <row r="375" spans="1:6">
      <c r="A375" s="1" t="s">
        <v>420</v>
      </c>
      <c r="B375" s="1">
        <v>2014</v>
      </c>
      <c r="C375" s="1">
        <v>1373</v>
      </c>
      <c r="D375" s="4" t="s">
        <v>426</v>
      </c>
      <c r="E375" s="4">
        <v>8114452</v>
      </c>
      <c r="F375" s="5">
        <v>1.6920427898273354E-4</v>
      </c>
    </row>
    <row r="376" spans="1:6">
      <c r="A376" s="1" t="s">
        <v>420</v>
      </c>
      <c r="B376" s="1">
        <v>2015</v>
      </c>
      <c r="C376" s="1">
        <v>1307</v>
      </c>
      <c r="D376" s="4" t="s">
        <v>427</v>
      </c>
      <c r="E376" s="4">
        <v>8323168</v>
      </c>
      <c r="F376" s="5">
        <v>1.5703155337006293E-4</v>
      </c>
    </row>
    <row r="377" spans="1:6">
      <c r="A377" s="1" t="s">
        <v>420</v>
      </c>
      <c r="B377" s="1">
        <v>2016</v>
      </c>
      <c r="C377" s="1">
        <v>1062</v>
      </c>
      <c r="D377" s="4" t="s">
        <v>428</v>
      </c>
      <c r="E377" s="21">
        <f>AVERAGE(E370:E376)</f>
        <v>7901281.8571428573</v>
      </c>
      <c r="F377" s="5">
        <v>1.5703155337006293E-4</v>
      </c>
    </row>
    <row r="378" spans="1:6">
      <c r="A378" s="1" t="s">
        <v>429</v>
      </c>
      <c r="B378" s="1">
        <v>2009</v>
      </c>
      <c r="C378" s="1">
        <v>546</v>
      </c>
      <c r="D378" s="4" t="s">
        <v>430</v>
      </c>
      <c r="E378" s="4">
        <v>6465755</v>
      </c>
      <c r="F378" s="5">
        <v>8.4444894679739643E-5</v>
      </c>
    </row>
    <row r="379" spans="1:6">
      <c r="A379" s="1" t="s">
        <v>429</v>
      </c>
      <c r="B379" s="1">
        <v>2010</v>
      </c>
      <c r="C379" s="1">
        <v>411</v>
      </c>
      <c r="D379" s="4" t="s">
        <v>431</v>
      </c>
      <c r="E379" s="4">
        <v>6541242</v>
      </c>
      <c r="F379" s="5">
        <v>6.2832104361832202E-5</v>
      </c>
    </row>
    <row r="380" spans="1:6">
      <c r="A380" s="1" t="s">
        <v>429</v>
      </c>
      <c r="B380" s="1">
        <v>2011</v>
      </c>
      <c r="C380" s="1">
        <v>581</v>
      </c>
      <c r="D380" s="4" t="s">
        <v>432</v>
      </c>
      <c r="E380" s="4">
        <v>6628098</v>
      </c>
      <c r="F380" s="5">
        <v>8.7657122752258639E-5</v>
      </c>
    </row>
    <row r="381" spans="1:6">
      <c r="A381" s="1" t="s">
        <v>429</v>
      </c>
      <c r="B381" s="1">
        <v>2012</v>
      </c>
      <c r="C381" s="1">
        <v>521</v>
      </c>
      <c r="D381" s="4" t="s">
        <v>433</v>
      </c>
      <c r="E381" s="4">
        <v>6763880</v>
      </c>
      <c r="F381" s="5">
        <v>7.7026795271353129E-5</v>
      </c>
    </row>
    <row r="382" spans="1:6">
      <c r="A382" s="1" t="s">
        <v>429</v>
      </c>
      <c r="B382" s="1">
        <v>2013</v>
      </c>
      <c r="C382" s="1">
        <v>606</v>
      </c>
      <c r="D382" s="4" t="s">
        <v>434</v>
      </c>
      <c r="E382" s="4">
        <v>6780347</v>
      </c>
      <c r="F382" s="5">
        <v>8.9375956717259455E-5</v>
      </c>
    </row>
    <row r="383" spans="1:6">
      <c r="A383" s="1" t="s">
        <v>429</v>
      </c>
      <c r="B383" s="1">
        <v>2014</v>
      </c>
      <c r="C383" s="1">
        <v>564</v>
      </c>
      <c r="D383" s="4" t="s">
        <v>435</v>
      </c>
      <c r="E383" s="4">
        <v>6936198</v>
      </c>
      <c r="F383" s="5">
        <v>8.1312557686502023E-5</v>
      </c>
    </row>
    <row r="384" spans="1:6">
      <c r="A384" s="1" t="s">
        <v>429</v>
      </c>
      <c r="B384" s="1">
        <v>2015</v>
      </c>
      <c r="C384" s="1">
        <v>671</v>
      </c>
      <c r="D384" s="4" t="s">
        <v>436</v>
      </c>
      <c r="E384" s="4">
        <v>6946663</v>
      </c>
      <c r="F384" s="5">
        <v>9.6593141195995828E-5</v>
      </c>
    </row>
    <row r="385" spans="1:6">
      <c r="A385" s="1" t="s">
        <v>429</v>
      </c>
      <c r="B385" s="1">
        <v>2016</v>
      </c>
      <c r="C385" s="1">
        <v>643</v>
      </c>
      <c r="D385" s="4" t="s">
        <v>437</v>
      </c>
      <c r="E385" s="21">
        <f>AVERAGE(E378:E384)</f>
        <v>6723169</v>
      </c>
      <c r="F385" s="5">
        <v>1.5703155337006293E-4</v>
      </c>
    </row>
    <row r="386" spans="1:6">
      <c r="A386" s="1" t="s">
        <v>438</v>
      </c>
      <c r="B386" s="1">
        <v>2009</v>
      </c>
      <c r="C386" s="1">
        <v>288</v>
      </c>
      <c r="D386" s="4" t="s">
        <v>439</v>
      </c>
      <c r="E386" s="4">
        <v>1771937</v>
      </c>
      <c r="F386" s="5">
        <v>1.6253399528312802E-4</v>
      </c>
    </row>
    <row r="387" spans="1:6">
      <c r="A387" s="1" t="s">
        <v>438</v>
      </c>
      <c r="B387" s="1">
        <v>2010</v>
      </c>
      <c r="C387" s="1">
        <v>294</v>
      </c>
      <c r="D387" s="4" t="s">
        <v>440</v>
      </c>
      <c r="E387" s="4">
        <v>1881165</v>
      </c>
      <c r="F387" s="5">
        <v>1.5628613120061239E-4</v>
      </c>
    </row>
    <row r="388" spans="1:6">
      <c r="A388" s="1" t="s">
        <v>438</v>
      </c>
      <c r="B388" s="1">
        <v>2011</v>
      </c>
      <c r="C388" s="1">
        <v>248</v>
      </c>
      <c r="D388" s="4" t="s">
        <v>441</v>
      </c>
      <c r="E388" s="4">
        <v>1814205</v>
      </c>
      <c r="F388" s="5">
        <v>1.3669899487654371E-4</v>
      </c>
    </row>
    <row r="389" spans="1:6">
      <c r="A389" s="1" t="s">
        <v>438</v>
      </c>
      <c r="B389" s="1">
        <v>2012</v>
      </c>
      <c r="C389" s="1">
        <v>268</v>
      </c>
      <c r="D389" s="4" t="s">
        <v>442</v>
      </c>
      <c r="E389" s="4">
        <v>1785173</v>
      </c>
      <c r="F389" s="5">
        <v>1.5012550604339187E-4</v>
      </c>
    </row>
    <row r="390" spans="1:6">
      <c r="A390" s="1" t="s">
        <v>438</v>
      </c>
      <c r="B390" s="1">
        <v>2013</v>
      </c>
      <c r="C390" s="1">
        <v>324</v>
      </c>
      <c r="D390" s="4" t="s">
        <v>443</v>
      </c>
      <c r="E390" s="4">
        <v>1867261</v>
      </c>
      <c r="F390" s="5">
        <v>1.735161822583988E-4</v>
      </c>
    </row>
    <row r="391" spans="1:6">
      <c r="A391" s="1" t="s">
        <v>438</v>
      </c>
      <c r="B391" s="1">
        <v>2014</v>
      </c>
      <c r="C391" s="1">
        <v>286</v>
      </c>
      <c r="D391" s="4" t="s">
        <v>444</v>
      </c>
      <c r="E391" s="4">
        <v>1921821</v>
      </c>
      <c r="F391" s="5">
        <v>1.4881718953013834E-4</v>
      </c>
    </row>
    <row r="392" spans="1:6">
      <c r="A392" s="1" t="s">
        <v>438</v>
      </c>
      <c r="B392" s="1">
        <v>2015</v>
      </c>
      <c r="C392" s="1">
        <v>345</v>
      </c>
      <c r="D392" s="4" t="s">
        <v>445</v>
      </c>
      <c r="E392" s="4">
        <v>1676448</v>
      </c>
      <c r="F392" s="5">
        <v>2.0579224646395235E-4</v>
      </c>
    </row>
    <row r="393" spans="1:6">
      <c r="A393" s="1" t="s">
        <v>438</v>
      </c>
      <c r="B393" s="1">
        <v>2016</v>
      </c>
      <c r="C393" s="1">
        <v>207</v>
      </c>
      <c r="D393" s="4" t="s">
        <v>446</v>
      </c>
      <c r="E393" s="21">
        <f>AVERAGE(E386:E392)</f>
        <v>1816858.5714285714</v>
      </c>
      <c r="F393" s="5">
        <v>2.0579224646395235E-4</v>
      </c>
    </row>
    <row r="394" spans="1:6">
      <c r="A394" s="1" t="s">
        <v>447</v>
      </c>
      <c r="B394" s="1">
        <v>2009</v>
      </c>
      <c r="C394" s="1">
        <v>795</v>
      </c>
      <c r="D394" s="4" t="s">
        <v>448</v>
      </c>
      <c r="E394" s="4">
        <v>5599420</v>
      </c>
      <c r="F394" s="5">
        <v>1.4197899068117771E-4</v>
      </c>
    </row>
    <row r="395" spans="1:6">
      <c r="A395" s="1" t="s">
        <v>447</v>
      </c>
      <c r="B395" s="1">
        <v>2010</v>
      </c>
      <c r="C395" s="1">
        <v>726</v>
      </c>
      <c r="D395" s="4" t="s">
        <v>449</v>
      </c>
      <c r="E395" s="4">
        <v>5599318</v>
      </c>
      <c r="F395" s="5">
        <v>1.2965864771388231E-4</v>
      </c>
    </row>
    <row r="396" spans="1:6">
      <c r="A396" s="1" t="s">
        <v>447</v>
      </c>
      <c r="B396" s="1">
        <v>2011</v>
      </c>
      <c r="C396" s="1">
        <v>806</v>
      </c>
      <c r="D396" s="4" t="s">
        <v>450</v>
      </c>
      <c r="E396" s="4">
        <v>5449940</v>
      </c>
      <c r="F396" s="5">
        <v>1.4789153642058445E-4</v>
      </c>
    </row>
    <row r="397" spans="1:6">
      <c r="A397" s="1" t="s">
        <v>447</v>
      </c>
      <c r="B397" s="1">
        <v>2012</v>
      </c>
      <c r="C397" s="1">
        <v>840</v>
      </c>
      <c r="D397" s="4" t="s">
        <v>451</v>
      </c>
      <c r="E397" s="4">
        <v>5972135</v>
      </c>
      <c r="F397" s="5">
        <v>1.4065321698186661E-4</v>
      </c>
    </row>
    <row r="398" spans="1:6">
      <c r="A398" s="1" t="s">
        <v>447</v>
      </c>
      <c r="B398" s="1">
        <v>2013</v>
      </c>
      <c r="C398" s="1">
        <v>964</v>
      </c>
      <c r="D398" s="4" t="s">
        <v>452</v>
      </c>
      <c r="E398" s="4">
        <v>5597184</v>
      </c>
      <c r="F398" s="5">
        <v>1.722294639590194E-4</v>
      </c>
    </row>
    <row r="399" spans="1:6">
      <c r="A399" s="1" t="s">
        <v>447</v>
      </c>
      <c r="B399" s="1">
        <v>2014</v>
      </c>
      <c r="C399" s="1">
        <v>832</v>
      </c>
      <c r="D399" s="4" t="s">
        <v>453</v>
      </c>
      <c r="E399" s="4">
        <v>5678734</v>
      </c>
      <c r="F399" s="5">
        <v>1.465115288020182E-4</v>
      </c>
    </row>
    <row r="400" spans="1:6">
      <c r="A400" s="1" t="s">
        <v>447</v>
      </c>
      <c r="B400" s="1">
        <v>2015</v>
      </c>
      <c r="C400" s="1">
        <v>885</v>
      </c>
      <c r="D400" s="4" t="s">
        <v>454</v>
      </c>
      <c r="E400" s="21">
        <f>AVERAGE(E394:E399)</f>
        <v>5649455.166666667</v>
      </c>
      <c r="F400" s="5">
        <v>1.55205568460124E-4</v>
      </c>
    </row>
    <row r="401" spans="1:6">
      <c r="A401" s="1" t="s">
        <v>447</v>
      </c>
      <c r="B401" s="1">
        <v>2016</v>
      </c>
      <c r="C401" s="1">
        <v>709</v>
      </c>
      <c r="D401" s="4" t="s">
        <v>455</v>
      </c>
      <c r="E401" s="21">
        <f>AVERAGE(E394:E400)</f>
        <v>5649455.166666666</v>
      </c>
      <c r="F401" s="5">
        <v>1.55205568460124E-4</v>
      </c>
    </row>
    <row r="402" spans="1:6">
      <c r="A402" s="1" t="s">
        <v>456</v>
      </c>
      <c r="B402" s="1">
        <v>2009</v>
      </c>
      <c r="C402" s="1">
        <v>10</v>
      </c>
      <c r="D402" s="4" t="s">
        <v>457</v>
      </c>
      <c r="E402" s="4">
        <v>519426</v>
      </c>
      <c r="F402" s="5">
        <v>1.9252020499551429E-5</v>
      </c>
    </row>
    <row r="403" spans="1:6">
      <c r="A403" s="1" t="s">
        <v>456</v>
      </c>
      <c r="B403" s="1">
        <v>2010</v>
      </c>
      <c r="C403" s="1">
        <v>10</v>
      </c>
      <c r="D403" s="4" t="s">
        <v>458</v>
      </c>
      <c r="E403" s="4">
        <v>600605</v>
      </c>
      <c r="F403" s="5">
        <v>1.6649878039643359E-5</v>
      </c>
    </row>
    <row r="404" spans="1:6">
      <c r="A404" s="1" t="s">
        <v>456</v>
      </c>
      <c r="B404" s="1">
        <v>2011</v>
      </c>
      <c r="C404" s="1">
        <v>22</v>
      </c>
      <c r="D404" s="4" t="s">
        <v>459</v>
      </c>
      <c r="E404" s="4">
        <v>633559</v>
      </c>
      <c r="F404" s="5">
        <v>3.4724469228595915E-5</v>
      </c>
    </row>
    <row r="405" spans="1:6">
      <c r="A405" s="1" t="s">
        <v>456</v>
      </c>
      <c r="B405" s="1">
        <v>2012</v>
      </c>
      <c r="C405" s="1">
        <v>0</v>
      </c>
      <c r="D405" s="4" t="s">
        <v>460</v>
      </c>
      <c r="E405" s="4">
        <v>717595</v>
      </c>
      <c r="F405" s="5">
        <v>0</v>
      </c>
    </row>
    <row r="406" spans="1:6">
      <c r="A406" s="1" t="s">
        <v>456</v>
      </c>
      <c r="B406" s="1">
        <v>2013</v>
      </c>
      <c r="C406" s="1">
        <v>12</v>
      </c>
      <c r="D406" s="4" t="s">
        <v>461</v>
      </c>
      <c r="E406" s="4">
        <v>566391</v>
      </c>
      <c r="F406" s="5">
        <v>2.1186777332266931E-5</v>
      </c>
    </row>
    <row r="407" spans="1:6">
      <c r="A407" s="1" t="s">
        <v>456</v>
      </c>
      <c r="B407" s="1">
        <v>2014</v>
      </c>
      <c r="C407" s="1">
        <v>0</v>
      </c>
      <c r="D407" s="4" t="s">
        <v>462</v>
      </c>
      <c r="E407" s="4">
        <v>654471</v>
      </c>
      <c r="F407" s="5">
        <v>0</v>
      </c>
    </row>
    <row r="408" spans="1:6">
      <c r="A408" s="1" t="s">
        <v>456</v>
      </c>
      <c r="B408" s="1">
        <v>2015</v>
      </c>
      <c r="C408" s="1">
        <v>0</v>
      </c>
      <c r="D408" s="4" t="s">
        <v>463</v>
      </c>
      <c r="E408" s="4">
        <v>606146</v>
      </c>
      <c r="F408" s="5">
        <v>0</v>
      </c>
    </row>
    <row r="409" spans="1:6">
      <c r="A409" s="1" t="s">
        <v>456</v>
      </c>
      <c r="B409" s="1">
        <v>2016</v>
      </c>
      <c r="C409" s="1">
        <v>0</v>
      </c>
      <c r="D409" s="4" t="s">
        <v>464</v>
      </c>
      <c r="E409" s="21">
        <f>AVERAGE(E402:E408)</f>
        <v>614027.57142857148</v>
      </c>
      <c r="F409" s="5">
        <v>0</v>
      </c>
    </row>
    <row r="410" spans="1:6">
      <c r="D410" s="4"/>
    </row>
  </sheetData>
  <autoFilter ref="A1:F409" xr:uid="{00000000-0001-0000-0500-000000000000}"/>
  <conditionalFormatting sqref="A2:C409 E2:F409">
    <cfRule type="expression" dxfId="5" priority="5">
      <formula>COUNTIF($A2:$F2,"FALSE")&gt;0</formula>
    </cfRule>
  </conditionalFormatting>
  <conditionalFormatting sqref="D403:D409 D395:D401 D387:D393 D379:D385 D371:D377 D363:D369 D355:D361 D347:D353 D339:D345 D331:D337 D323:D329 D315:D321 D307:D313 D299:D305 D291:D297 D283:D289 D275:D281 D267:D273 D259:D265 D251:D257 D235:D241 D243:D249 D227:D233 D219:D225 D211:D217 D203:D209 D195:D201 D187:D193 D179:D185 D171:D177 D163:D169 D155:D161 D147:D153 D139:D145 D131:D137 D123:D129 D115:D121 D107:D113 D99:D105 D91:D97 D83:D89 D75:D81 D67:D73 D59:D65 D51:D57 D43:D49 D35:D41 D27:D33 D19:D25 D2:D9 D11:D17">
    <cfRule type="expression" dxfId="4" priority="7">
      <formula>COUNTIF($A1:$F1,"FALSE")&gt;0</formula>
    </cfRule>
  </conditionalFormatting>
  <conditionalFormatting sqref="D2">
    <cfRule type="expression" dxfId="3" priority="2305">
      <formula>COUNTIF($A1:$E1,"FALSE")&gt;0</formula>
    </cfRule>
  </conditionalFormatting>
  <conditionalFormatting sqref="D1">
    <cfRule type="expression" dxfId="2" priority="1">
      <formula>COUNTIF($A1:$D1,"FALSE")&gt;0</formula>
    </cfRule>
  </conditionalFormatting>
  <conditionalFormatting sqref="D234 D410 D402 D394 D386 D378 D370 D362 D354 D346 D338 D330 D322 D314 D306 D298 D290 D282 D274 D266 D258 D250 D242 D226 D218 D210 D202 D194 D186 D178 D170 D162 D154 D146 D138 D130 D122 D114 D106 D98 D90 D82 D74 D66 D58 D50 D42 D34 D26 D18 D10">
    <cfRule type="expression" dxfId="1" priority="2311">
      <formula>COUNTIF(#REF!,"FALSE")&gt;0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F983-E8DE-4118-BD04-8382DDFE1A73}">
  <dimension ref="A1:H52"/>
  <sheetViews>
    <sheetView workbookViewId="0">
      <selection activeCell="D19" sqref="D19"/>
    </sheetView>
  </sheetViews>
  <sheetFormatPr defaultRowHeight="15"/>
  <cols>
    <col min="1" max="1" width="33.28515625" style="17" customWidth="1"/>
    <col min="2" max="2" width="18.42578125" style="17" customWidth="1"/>
    <col min="3" max="3" width="18.28515625" style="17" customWidth="1"/>
    <col min="4" max="4" width="21.28515625" style="17" customWidth="1"/>
    <col min="5" max="8" width="9.140625" style="17"/>
    <col min="9" max="16384" width="9.140625" style="18"/>
  </cols>
  <sheetData>
    <row r="1" spans="1:8" ht="31.5" customHeight="1">
      <c r="A1" s="20" t="s">
        <v>465</v>
      </c>
    </row>
    <row r="2" spans="1:8">
      <c r="A2" s="20"/>
      <c r="B2" s="19" t="s">
        <v>466</v>
      </c>
      <c r="C2" s="19" t="s">
        <v>467</v>
      </c>
      <c r="D2" s="37" t="s">
        <v>468</v>
      </c>
      <c r="E2" s="16"/>
      <c r="F2" s="16"/>
      <c r="G2" s="16"/>
    </row>
    <row r="3" spans="1:8" ht="18" customHeight="1">
      <c r="A3" s="19" t="s">
        <v>469</v>
      </c>
      <c r="B3" s="16" t="str">
        <f>Integrated_dataSet!C1</f>
        <v>Deaths</v>
      </c>
      <c r="C3" s="16" t="str">
        <f>Integrated_dataSet!E1</f>
        <v>Population</v>
      </c>
      <c r="D3" s="37" t="s">
        <v>5</v>
      </c>
      <c r="E3" s="16"/>
      <c r="F3" s="16"/>
      <c r="G3" s="16"/>
    </row>
    <row r="4" spans="1:8" ht="18" customHeight="1">
      <c r="A4" s="19" t="s">
        <v>470</v>
      </c>
      <c r="B4" s="16" t="s">
        <v>471</v>
      </c>
      <c r="C4" s="16" t="s">
        <v>471</v>
      </c>
      <c r="D4" s="37" t="s">
        <v>471</v>
      </c>
      <c r="E4" s="16"/>
      <c r="F4" s="16"/>
      <c r="G4" s="16"/>
    </row>
    <row r="5" spans="1:8" ht="18" customHeight="1">
      <c r="A5" s="19" t="s">
        <v>472</v>
      </c>
      <c r="B5" s="16" t="str">
        <f>IF(ABS(SKEW(Integrated_dataSet!C2:C409))&lt;1, "Yes", "No")</f>
        <v>No</v>
      </c>
      <c r="C5" s="16" t="str">
        <f>IF(ABS(SKEW(Integrated_dataSet!E2:E409))&lt;1, "Yes", "No")</f>
        <v>No</v>
      </c>
      <c r="D5" s="37" t="str">
        <f>IF(ABS(SKEW(Integrated_dataSet!F2:F409))&lt;1, "Yes", "No")</f>
        <v>Yes</v>
      </c>
      <c r="E5" s="16"/>
      <c r="F5" s="16"/>
      <c r="G5" s="16"/>
    </row>
    <row r="6" spans="1:8" ht="18" customHeight="1">
      <c r="A6" s="19" t="s">
        <v>473</v>
      </c>
      <c r="B6" s="22">
        <f>_xlfn.VAR.P(Integrated_dataSet!C2:C409)</f>
        <v>1325082.6262014611</v>
      </c>
      <c r="C6" s="23">
        <f>_xlfn.VAR.P(Integrated_dataSet!E2:E409)</f>
        <v>46147790072391.773</v>
      </c>
      <c r="D6" s="38">
        <f>_xlfn.VAR.P(Integrated_dataSet!F2:F409)</f>
        <v>4.1577746455410118E-9</v>
      </c>
      <c r="E6" s="16"/>
      <c r="F6" s="16"/>
      <c r="G6" s="16"/>
    </row>
    <row r="7" spans="1:8" ht="18" customHeight="1">
      <c r="A7" s="19" t="s">
        <v>474</v>
      </c>
      <c r="B7" s="22">
        <f>_xlfn.STDEV.P(Integrated_dataSet!C2:C409)</f>
        <v>1151.1223332910629</v>
      </c>
      <c r="C7" s="22">
        <f>_xlfn.STDEV.P(Integrated_dataSet!E2:E409)</f>
        <v>6793216.4747188631</v>
      </c>
      <c r="D7" s="39">
        <f>_xlfn.STDEV.P(Integrated_dataSet!F2:F409)</f>
        <v>6.4480808350555064E-5</v>
      </c>
      <c r="E7" s="16"/>
      <c r="F7" s="16"/>
      <c r="G7" s="16"/>
    </row>
    <row r="8" spans="1:8" ht="18" customHeight="1">
      <c r="A8" s="19" t="s">
        <v>475</v>
      </c>
      <c r="B8" s="22">
        <f>AVERAGE(Integrated_dataSet!C2:C409)</f>
        <v>900.24509803921569</v>
      </c>
      <c r="C8" s="22">
        <f>AVERAGE(Integrated_dataSet!E2:E409)</f>
        <v>6071162.4689542484</v>
      </c>
      <c r="D8" s="39">
        <f>AVERAGE(Integrated_dataSet!F2:F409)</f>
        <v>1.2056588417446239E-4</v>
      </c>
      <c r="E8" s="16"/>
      <c r="F8" s="16"/>
      <c r="G8" s="16"/>
      <c r="H8" s="16"/>
    </row>
    <row r="9" spans="1:8" ht="18" customHeight="1">
      <c r="A9" s="19" t="s">
        <v>476</v>
      </c>
      <c r="B9" s="25">
        <f>B13/COUNT(Integrated_dataSet!C2:C409)</f>
        <v>3.6764705882352942E-2</v>
      </c>
      <c r="C9" s="25">
        <f>C13/COUNT(Integrated_dataSet!E2:E409)</f>
        <v>1.9607843137254902E-2</v>
      </c>
      <c r="D9" s="40">
        <f>D13/COUNT(Integrated_dataSet!F2:F409)</f>
        <v>2.4509803921568627E-3</v>
      </c>
      <c r="E9" s="16"/>
      <c r="F9" s="22"/>
      <c r="G9" s="16"/>
    </row>
    <row r="10" spans="1:8" ht="18" customHeight="1">
      <c r="A10" s="24" t="s">
        <v>477</v>
      </c>
      <c r="B10" s="22">
        <f>B8-3*B7</f>
        <v>-2553.1219018339725</v>
      </c>
      <c r="C10" s="22">
        <f>C8-3*C7</f>
        <v>-14308486.955202343</v>
      </c>
      <c r="D10" s="41">
        <f>D8-3*D7</f>
        <v>-7.2876540877202806E-5</v>
      </c>
      <c r="E10" s="16"/>
      <c r="F10" s="22"/>
      <c r="G10" s="16"/>
    </row>
    <row r="11" spans="1:8" ht="18" customHeight="1">
      <c r="A11" s="24" t="s">
        <v>478</v>
      </c>
      <c r="B11" s="22">
        <f>B8+3*B7</f>
        <v>4353.6120979124044</v>
      </c>
      <c r="C11" s="22">
        <f>C8+3*C7</f>
        <v>26450811.893110842</v>
      </c>
      <c r="D11" s="39">
        <f>D8+3*D7</f>
        <v>3.1400830922612757E-4</v>
      </c>
      <c r="E11" s="16"/>
      <c r="F11" s="22"/>
      <c r="G11" s="16"/>
    </row>
    <row r="12" spans="1:8" ht="18" customHeight="1">
      <c r="A12" s="24" t="s">
        <v>479</v>
      </c>
      <c r="B12" s="22">
        <f>IF(OR(B2&lt;B10,B2&gt;B11),1,0)</f>
        <v>1</v>
      </c>
      <c r="C12" s="22">
        <f>IF(OR(C2&lt;C10,C2&gt;C11),1,0)</f>
        <v>1</v>
      </c>
      <c r="D12" s="42">
        <f t="shared" ref="C12:D12" si="0">IF(OR(D2&lt;D10,D2&gt;D11),1,0)</f>
        <v>1</v>
      </c>
      <c r="E12" s="16"/>
      <c r="F12" s="22"/>
      <c r="G12" s="16"/>
    </row>
    <row r="13" spans="1:8" ht="18" customHeight="1">
      <c r="A13" s="24" t="s">
        <v>480</v>
      </c>
      <c r="B13" s="22">
        <f>COUNTIF(Integrated_dataSet!C2:C409,"&gt;" &amp;B11)</f>
        <v>15</v>
      </c>
      <c r="C13" s="22">
        <f>COUNTIF(Integrated_dataSet!E2:E409,"&gt;" &amp;C11)</f>
        <v>8</v>
      </c>
      <c r="D13" s="42">
        <f>COUNTIF(Integrated_dataSet!F2:F409,"&gt;" &amp;D11)</f>
        <v>1</v>
      </c>
      <c r="E13" s="16"/>
      <c r="F13" s="22"/>
      <c r="G13" s="16"/>
    </row>
    <row r="14" spans="1:8" ht="30" customHeight="1">
      <c r="A14" s="15" t="s">
        <v>481</v>
      </c>
      <c r="B14" s="16"/>
      <c r="C14" s="16"/>
      <c r="D14" s="37"/>
      <c r="E14" s="16"/>
      <c r="F14" s="16"/>
      <c r="G14" s="16"/>
    </row>
    <row r="15" spans="1:8" ht="18" customHeight="1">
      <c r="A15" s="16" t="s">
        <v>482</v>
      </c>
      <c r="B15" s="16" t="s">
        <v>483</v>
      </c>
      <c r="C15" s="16" t="s">
        <v>484</v>
      </c>
      <c r="D15" s="37" t="s">
        <v>485</v>
      </c>
      <c r="E15" s="16"/>
      <c r="F15" s="16"/>
      <c r="G15" s="16"/>
    </row>
    <row r="16" spans="1:8" ht="18" customHeight="1">
      <c r="A16" s="16" t="s">
        <v>486</v>
      </c>
      <c r="B16" s="16" t="s">
        <v>487</v>
      </c>
      <c r="C16" s="16" t="s">
        <v>4</v>
      </c>
      <c r="D16" s="37" t="s">
        <v>5</v>
      </c>
      <c r="E16" s="16"/>
      <c r="F16" s="16"/>
      <c r="G16" s="16"/>
    </row>
    <row r="17" spans="1:7" ht="18" customHeight="1">
      <c r="A17" s="16" t="s">
        <v>488</v>
      </c>
      <c r="B17" s="27">
        <f>CORREL(Integrated_dataSet!E2:E409, Integrated_dataSet!C2:C409)</f>
        <v>0.95683468959904205</v>
      </c>
      <c r="C17" s="27"/>
      <c r="D17" s="43">
        <f>CORREL(Integrated_dataSet!F2:F409, Integrated_dataSet!C2:C409)</f>
        <v>0.52042252598459182</v>
      </c>
      <c r="E17" s="16"/>
      <c r="F17" s="16"/>
      <c r="G17" s="16"/>
    </row>
    <row r="18" spans="1:7" ht="18" customHeight="1">
      <c r="A18" s="16" t="s">
        <v>489</v>
      </c>
      <c r="B18" s="26" t="s">
        <v>490</v>
      </c>
      <c r="C18" s="26"/>
      <c r="D18" s="37" t="s">
        <v>490</v>
      </c>
      <c r="E18" s="16"/>
      <c r="F18" s="16"/>
      <c r="G18" s="16"/>
    </row>
    <row r="19" spans="1:7" ht="34.5" customHeight="1">
      <c r="A19" s="16" t="s">
        <v>491</v>
      </c>
      <c r="B19" s="28" t="s">
        <v>492</v>
      </c>
      <c r="C19" s="28"/>
      <c r="D19" s="37" t="s">
        <v>493</v>
      </c>
      <c r="E19" s="36"/>
      <c r="F19" s="16"/>
      <c r="G19" s="16"/>
    </row>
    <row r="20" spans="1:7">
      <c r="A20" s="16"/>
      <c r="B20" s="16"/>
      <c r="C20" s="16"/>
      <c r="D20" s="16"/>
      <c r="E20" s="16"/>
      <c r="F20" s="16"/>
      <c r="G20" s="16"/>
    </row>
    <row r="21" spans="1:7">
      <c r="A21" s="16"/>
      <c r="B21" s="16"/>
      <c r="C21" s="16"/>
      <c r="D21" s="16"/>
      <c r="E21" s="16"/>
      <c r="F21" s="16"/>
      <c r="G21" s="16"/>
    </row>
    <row r="22" spans="1:7">
      <c r="A22" s="16"/>
      <c r="B22" s="16"/>
      <c r="C22" s="16"/>
      <c r="D22" s="16"/>
      <c r="E22" s="16"/>
      <c r="F22" s="16"/>
      <c r="G22" s="16"/>
    </row>
    <row r="23" spans="1:7">
      <c r="A23" s="16"/>
      <c r="B23" s="16"/>
      <c r="C23" s="16"/>
      <c r="D23" s="16"/>
      <c r="E23" s="16"/>
      <c r="F23" s="16"/>
      <c r="G23" s="16"/>
    </row>
    <row r="24" spans="1:7">
      <c r="A24" s="16"/>
      <c r="B24" s="16"/>
      <c r="C24" s="16"/>
      <c r="D24" s="16"/>
      <c r="E24" s="16"/>
      <c r="F24" s="16"/>
      <c r="G24" s="16"/>
    </row>
    <row r="25" spans="1:7">
      <c r="A25" s="16"/>
      <c r="B25" s="16"/>
      <c r="C25" s="16"/>
      <c r="D25" s="16"/>
      <c r="E25" s="16"/>
      <c r="F25" s="16"/>
      <c r="G25" s="16"/>
    </row>
    <row r="26" spans="1:7">
      <c r="A26" s="16"/>
      <c r="B26" s="16"/>
      <c r="C26" s="16"/>
      <c r="D26" s="16"/>
      <c r="E26" s="16"/>
      <c r="F26" s="16"/>
      <c r="G26" s="16"/>
    </row>
    <row r="27" spans="1:7">
      <c r="A27" s="16"/>
      <c r="B27" s="16"/>
      <c r="C27" s="16"/>
      <c r="D27" s="16"/>
      <c r="E27" s="16"/>
      <c r="F27" s="16"/>
      <c r="G27" s="16"/>
    </row>
    <row r="28" spans="1:7">
      <c r="A28" s="16"/>
      <c r="B28" s="16"/>
      <c r="C28" s="16"/>
      <c r="D28" s="16"/>
      <c r="E28" s="16"/>
      <c r="F28" s="16"/>
      <c r="G28" s="16"/>
    </row>
    <row r="29" spans="1:7">
      <c r="A29" s="16"/>
      <c r="B29" s="16"/>
      <c r="C29" s="16"/>
      <c r="D29" s="16"/>
      <c r="E29" s="16"/>
      <c r="F29" s="16"/>
      <c r="G29" s="16"/>
    </row>
    <row r="30" spans="1:7">
      <c r="A30" s="16"/>
      <c r="B30" s="16"/>
      <c r="C30" s="16"/>
      <c r="D30" s="16"/>
      <c r="E30" s="16"/>
      <c r="F30" s="16"/>
      <c r="G30" s="16"/>
    </row>
    <row r="31" spans="1:7">
      <c r="A31" s="16"/>
      <c r="B31" s="16"/>
      <c r="C31" s="16"/>
      <c r="D31" s="16"/>
      <c r="E31" s="16"/>
      <c r="F31" s="16"/>
      <c r="G31" s="16"/>
    </row>
    <row r="32" spans="1:7">
      <c r="A32" s="16"/>
      <c r="B32" s="16"/>
      <c r="C32" s="16"/>
      <c r="D32" s="16"/>
      <c r="E32" s="16"/>
      <c r="F32" s="16"/>
      <c r="G32" s="16"/>
    </row>
    <row r="33" spans="1:7">
      <c r="A33" s="16"/>
      <c r="B33" s="16"/>
      <c r="C33" s="16"/>
      <c r="D33" s="16"/>
      <c r="E33" s="16"/>
      <c r="F33" s="16"/>
      <c r="G33" s="16"/>
    </row>
    <row r="34" spans="1:7">
      <c r="A34" s="16"/>
      <c r="B34" s="16"/>
      <c r="C34" s="16"/>
      <c r="D34" s="16"/>
      <c r="E34" s="16"/>
      <c r="F34" s="16"/>
      <c r="G34" s="16"/>
    </row>
    <row r="35" spans="1:7">
      <c r="A35" s="16"/>
      <c r="B35" s="16"/>
      <c r="C35" s="16"/>
      <c r="D35" s="16"/>
      <c r="E35" s="16"/>
      <c r="F35" s="16"/>
      <c r="G35" s="16"/>
    </row>
    <row r="36" spans="1:7">
      <c r="A36" s="16"/>
      <c r="B36" s="16"/>
      <c r="C36" s="16"/>
      <c r="D36" s="16"/>
      <c r="E36" s="16"/>
      <c r="F36" s="16"/>
      <c r="G36" s="16"/>
    </row>
    <row r="37" spans="1:7">
      <c r="A37" s="16"/>
      <c r="B37" s="16"/>
      <c r="C37" s="16"/>
      <c r="D37" s="16"/>
      <c r="E37" s="16"/>
      <c r="F37" s="16"/>
      <c r="G37" s="16"/>
    </row>
    <row r="38" spans="1:7">
      <c r="A38" s="16"/>
      <c r="B38" s="16"/>
      <c r="C38" s="16"/>
      <c r="D38" s="16"/>
      <c r="E38" s="16"/>
      <c r="F38" s="16"/>
      <c r="G38" s="16"/>
    </row>
    <row r="39" spans="1:7">
      <c r="A39" s="16"/>
      <c r="B39" s="16"/>
      <c r="C39" s="16"/>
      <c r="D39" s="16"/>
      <c r="E39" s="16"/>
      <c r="F39" s="16"/>
      <c r="G39" s="16"/>
    </row>
    <row r="40" spans="1:7">
      <c r="A40" s="16"/>
      <c r="B40" s="16"/>
      <c r="C40" s="16"/>
      <c r="D40" s="16"/>
      <c r="E40" s="16"/>
      <c r="F40" s="16"/>
      <c r="G40" s="16"/>
    </row>
    <row r="41" spans="1:7">
      <c r="A41" s="16"/>
      <c r="B41" s="16"/>
      <c r="C41" s="16"/>
      <c r="D41" s="16"/>
      <c r="E41" s="16"/>
      <c r="F41" s="16"/>
      <c r="G41" s="16"/>
    </row>
    <row r="42" spans="1:7">
      <c r="A42" s="16"/>
      <c r="B42" s="16"/>
      <c r="C42" s="16"/>
      <c r="D42" s="16"/>
      <c r="E42" s="16"/>
      <c r="F42" s="16"/>
      <c r="G42" s="16"/>
    </row>
    <row r="43" spans="1:7">
      <c r="A43" s="16"/>
      <c r="B43" s="16"/>
      <c r="C43" s="16"/>
      <c r="D43" s="16"/>
      <c r="E43" s="16"/>
      <c r="F43" s="16"/>
      <c r="G43" s="16"/>
    </row>
    <row r="44" spans="1:7">
      <c r="A44" s="16"/>
      <c r="B44" s="16"/>
      <c r="C44" s="16"/>
      <c r="D44" s="16"/>
      <c r="E44" s="16"/>
      <c r="F44" s="16"/>
      <c r="G44" s="16"/>
    </row>
    <row r="45" spans="1:7">
      <c r="A45" s="16"/>
      <c r="B45" s="16"/>
      <c r="C45" s="16"/>
      <c r="D45" s="16"/>
      <c r="E45" s="16"/>
      <c r="F45" s="16"/>
      <c r="G45" s="16"/>
    </row>
    <row r="46" spans="1:7">
      <c r="A46" s="16"/>
      <c r="B46" s="16"/>
      <c r="C46" s="16"/>
      <c r="D46" s="16"/>
      <c r="E46" s="16"/>
      <c r="F46" s="16"/>
      <c r="G46" s="16"/>
    </row>
    <row r="47" spans="1:7">
      <c r="A47" s="16"/>
      <c r="B47" s="16"/>
      <c r="C47" s="16"/>
      <c r="D47" s="16"/>
      <c r="E47" s="16"/>
      <c r="F47" s="16"/>
      <c r="G47" s="16"/>
    </row>
    <row r="48" spans="1:7">
      <c r="A48" s="16"/>
      <c r="B48" s="16"/>
      <c r="C48" s="16"/>
      <c r="D48" s="16"/>
      <c r="E48" s="16"/>
      <c r="F48" s="16"/>
      <c r="G48" s="16"/>
    </row>
    <row r="49" spans="1:7">
      <c r="A49" s="16"/>
      <c r="B49" s="16"/>
      <c r="C49" s="16"/>
      <c r="D49" s="16"/>
      <c r="E49" s="16"/>
      <c r="F49" s="16"/>
      <c r="G49" s="16"/>
    </row>
    <row r="50" spans="1:7">
      <c r="A50" s="16"/>
      <c r="B50" s="16"/>
      <c r="C50" s="16"/>
      <c r="D50" s="16"/>
      <c r="E50" s="16"/>
      <c r="F50" s="16"/>
      <c r="G50" s="16"/>
    </row>
    <row r="51" spans="1:7">
      <c r="A51" s="16"/>
      <c r="B51" s="16"/>
      <c r="C51" s="16"/>
      <c r="D51" s="16"/>
      <c r="E51" s="16"/>
      <c r="F51" s="16"/>
      <c r="G51" s="16"/>
    </row>
    <row r="52" spans="1:7">
      <c r="A52" s="16"/>
      <c r="B52" s="16"/>
      <c r="C52" s="16"/>
      <c r="D52" s="16"/>
      <c r="E52" s="16"/>
      <c r="F52" s="16"/>
      <c r="G52" s="16"/>
    </row>
  </sheetData>
  <mergeCells count="4">
    <mergeCell ref="A1:A2"/>
    <mergeCell ref="B17:C17"/>
    <mergeCell ref="B18:C18"/>
    <mergeCell ref="B19:C19"/>
  </mergeCells>
  <conditionalFormatting sqref="A15:A39 A3:A13">
    <cfRule type="expression" dxfId="0" priority="1">
      <formula>COUNTIF($A3:$F3,"FALSE")&gt;0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1EDE-780C-4891-9EE9-79A3BEC9D5C9}">
  <dimension ref="A1:I19"/>
  <sheetViews>
    <sheetView tabSelected="1" workbookViewId="0">
      <selection activeCell="B10" sqref="B10:G16"/>
    </sheetView>
  </sheetViews>
  <sheetFormatPr defaultRowHeight="15"/>
  <cols>
    <col min="2" max="8" width="18.7109375" customWidth="1"/>
  </cols>
  <sheetData>
    <row r="1" spans="1:9">
      <c r="A1" s="6"/>
      <c r="B1" s="6"/>
      <c r="C1" s="6"/>
      <c r="D1" s="6"/>
      <c r="E1" s="6"/>
      <c r="F1" s="6"/>
      <c r="G1" s="6"/>
      <c r="H1" s="6"/>
      <c r="I1" s="6"/>
    </row>
    <row r="2" spans="1:9" ht="18.75">
      <c r="A2" s="6"/>
      <c r="B2" s="33" t="s">
        <v>494</v>
      </c>
      <c r="C2" s="34"/>
      <c r="D2" s="34"/>
      <c r="E2" s="34"/>
      <c r="F2" s="34"/>
      <c r="G2" s="35"/>
      <c r="H2" s="6"/>
      <c r="I2" s="6"/>
    </row>
    <row r="3" spans="1:9" ht="15" customHeight="1">
      <c r="A3" s="6"/>
      <c r="B3" s="7" t="s">
        <v>495</v>
      </c>
      <c r="C3" s="29"/>
      <c r="D3" s="29"/>
      <c r="E3" s="29"/>
      <c r="F3" s="29"/>
      <c r="G3" s="8"/>
      <c r="H3" s="6"/>
      <c r="I3" s="6"/>
    </row>
    <row r="4" spans="1:9">
      <c r="A4" s="6"/>
      <c r="B4" s="7"/>
      <c r="C4" s="29"/>
      <c r="D4" s="29"/>
      <c r="E4" s="29"/>
      <c r="F4" s="29"/>
      <c r="G4" s="8"/>
      <c r="H4" s="6"/>
      <c r="I4" s="6"/>
    </row>
    <row r="5" spans="1:9">
      <c r="A5" s="6"/>
      <c r="B5" s="7"/>
      <c r="C5" s="29"/>
      <c r="D5" s="29"/>
      <c r="E5" s="29"/>
      <c r="F5" s="29"/>
      <c r="G5" s="8"/>
      <c r="H5" s="6"/>
      <c r="I5" s="6"/>
    </row>
    <row r="6" spans="1:9">
      <c r="A6" s="6"/>
      <c r="B6" s="7"/>
      <c r="C6" s="29"/>
      <c r="D6" s="29"/>
      <c r="E6" s="29"/>
      <c r="F6" s="29"/>
      <c r="G6" s="8"/>
      <c r="H6" s="6"/>
      <c r="I6" s="6"/>
    </row>
    <row r="7" spans="1:9">
      <c r="A7" s="6"/>
      <c r="B7" s="9"/>
      <c r="C7" s="10"/>
      <c r="D7" s="10"/>
      <c r="E7" s="10"/>
      <c r="F7" s="10"/>
      <c r="G7" s="11"/>
      <c r="H7" s="6"/>
      <c r="I7" s="6"/>
    </row>
    <row r="8" spans="1:9">
      <c r="A8" s="6"/>
      <c r="B8" s="6"/>
      <c r="C8" s="6"/>
      <c r="D8" s="6"/>
      <c r="E8" s="6"/>
      <c r="F8" s="6"/>
      <c r="G8" s="6"/>
      <c r="H8" s="6"/>
      <c r="I8" s="6"/>
    </row>
    <row r="9" spans="1:9" ht="18.75">
      <c r="A9" s="6"/>
      <c r="B9" s="12" t="s">
        <v>496</v>
      </c>
      <c r="C9" s="13"/>
      <c r="D9" s="13"/>
      <c r="E9" s="13"/>
      <c r="F9" s="13"/>
      <c r="G9" s="14"/>
      <c r="H9" s="6"/>
      <c r="I9" s="6"/>
    </row>
    <row r="10" spans="1:9" ht="15" customHeight="1">
      <c r="A10" s="6"/>
      <c r="B10" s="30" t="s">
        <v>497</v>
      </c>
      <c r="C10" s="31"/>
      <c r="D10" s="31"/>
      <c r="E10" s="31"/>
      <c r="F10" s="31"/>
      <c r="G10" s="32"/>
      <c r="H10" s="6"/>
      <c r="I10" s="6"/>
    </row>
    <row r="11" spans="1:9">
      <c r="A11" s="6"/>
      <c r="B11" s="7"/>
      <c r="C11" s="29"/>
      <c r="D11" s="29"/>
      <c r="E11" s="29"/>
      <c r="F11" s="29"/>
      <c r="G11" s="8"/>
      <c r="H11" s="6"/>
      <c r="I11" s="6"/>
    </row>
    <row r="12" spans="1:9">
      <c r="A12" s="6"/>
      <c r="B12" s="7"/>
      <c r="C12" s="29"/>
      <c r="D12" s="29"/>
      <c r="E12" s="29"/>
      <c r="F12" s="29"/>
      <c r="G12" s="8"/>
      <c r="H12" s="6"/>
      <c r="I12" s="6"/>
    </row>
    <row r="13" spans="1:9">
      <c r="A13" s="6"/>
      <c r="B13" s="7"/>
      <c r="C13" s="29"/>
      <c r="D13" s="29"/>
      <c r="E13" s="29"/>
      <c r="F13" s="29"/>
      <c r="G13" s="8"/>
      <c r="H13" s="6"/>
      <c r="I13" s="6"/>
    </row>
    <row r="14" spans="1:9">
      <c r="A14" s="6"/>
      <c r="B14" s="7"/>
      <c r="C14" s="29"/>
      <c r="D14" s="29"/>
      <c r="E14" s="29"/>
      <c r="F14" s="29"/>
      <c r="G14" s="8"/>
      <c r="H14" s="6"/>
      <c r="I14" s="6"/>
    </row>
    <row r="15" spans="1:9">
      <c r="A15" s="6"/>
      <c r="B15" s="7"/>
      <c r="C15" s="29"/>
      <c r="D15" s="29"/>
      <c r="E15" s="29"/>
      <c r="F15" s="29"/>
      <c r="G15" s="8"/>
      <c r="H15" s="6"/>
      <c r="I15" s="6"/>
    </row>
    <row r="16" spans="1:9">
      <c r="A16" s="6"/>
      <c r="B16" s="9"/>
      <c r="C16" s="10"/>
      <c r="D16" s="10"/>
      <c r="E16" s="10"/>
      <c r="F16" s="10"/>
      <c r="G16" s="11"/>
      <c r="H16" s="6"/>
      <c r="I16" s="6"/>
    </row>
    <row r="17" spans="1:9">
      <c r="A17" s="6"/>
      <c r="B17" s="6"/>
      <c r="C17" s="6"/>
      <c r="D17" s="6"/>
      <c r="E17" s="6"/>
      <c r="F17" s="6"/>
      <c r="G17" s="6"/>
      <c r="H17" s="6"/>
      <c r="I17" s="6"/>
    </row>
    <row r="18" spans="1:9">
      <c r="A18" s="6"/>
      <c r="B18" s="6"/>
      <c r="C18" s="6"/>
      <c r="D18" s="6"/>
      <c r="E18" s="6"/>
      <c r="F18" s="6"/>
      <c r="G18" s="6"/>
      <c r="H18" s="6"/>
      <c r="I18" s="6"/>
    </row>
    <row r="19" spans="1:9">
      <c r="A19" s="6"/>
      <c r="B19" s="6"/>
      <c r="C19" s="6"/>
      <c r="D19" s="6"/>
      <c r="E19" s="6"/>
      <c r="F19" s="6"/>
      <c r="G19" s="6"/>
      <c r="H19" s="6"/>
      <c r="I19" s="6"/>
    </row>
  </sheetData>
  <mergeCells count="4">
    <mergeCell ref="B10:G16"/>
    <mergeCell ref="B9:G9"/>
    <mergeCell ref="B3:G7"/>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Juan Maria Carvajal Ramos</cp:lastModifiedBy>
  <cp:revision/>
  <dcterms:created xsi:type="dcterms:W3CDTF">2026-01-31T14:17:04Z</dcterms:created>
  <dcterms:modified xsi:type="dcterms:W3CDTF">2026-02-02T21:32:53Z</dcterms:modified>
  <cp:category/>
  <cp:contentStatus/>
</cp:coreProperties>
</file>